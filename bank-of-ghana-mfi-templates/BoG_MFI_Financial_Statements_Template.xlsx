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etup" sheetId="2" state="visible" r:id="rId4"/>
    <sheet name="Balance Sheet" sheetId="3" state="visible" r:id="rId5"/>
    <sheet name="Income Statement" sheetId="4" state="visible" r:id="rId6"/>
    <sheet name="Cash Flow Statement" sheetId="5" state="visible" r:id="rId7"/>
    <sheet name="Changes in Equity" sheetId="6" state="visible" r:id="rId8"/>
    <sheet name="Loan Classification" sheetId="7" state="visible" r:id="rId9"/>
    <sheet name="Prudential Ratios" sheetId="8" state="visible" r:id="rId10"/>
    <sheet name="Worked Exampl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<sst xmlns="http://schemas.openxmlformats.org/spreadsheetml/2006/main" count="526" uniqueCount="432">
  <si>
    <t xml:space="preserve">BANK OF GHANA - MICROFINANCE INSTITUTION</t>
  </si>
  <si>
    <t xml:space="preserve">Financial statements template: balance sheet, income statement and cash flow statement</t>
  </si>
  <si>
    <t xml:space="preserve">Prepared for a Ghanaian microfinance institution reporting under IFRS and the Bank of Ghana prudential framework</t>
  </si>
  <si>
    <t xml:space="preserve">WHAT IS IN THIS WORKBOOK</t>
  </si>
  <si>
    <t xml:space="preserve">Setup</t>
  </si>
  <si>
    <t xml:space="preserve">Institution name, licence tier, reporting periods and share count. Fill this in first - every other sheet takes its headings from here.</t>
  </si>
  <si>
    <t xml:space="preserve">Balance Sheet</t>
  </si>
  <si>
    <t xml:space="preserve">Statement of financial position, current and prior period, with a built-in balance check.</t>
  </si>
  <si>
    <t xml:space="preserve">Income Statement</t>
  </si>
  <si>
    <t xml:space="preserve">Statement of comprehensive income, down to total comprehensive income, with the appropriation lines below it.</t>
  </si>
  <si>
    <t xml:space="preserve">Cash Flow Statement</t>
  </si>
  <si>
    <t xml:space="preserve">Indirect method. The current-period column is built from the other two statements; only the prior-period column and the investing and financing lines are keyed in.</t>
  </si>
  <si>
    <t xml:space="preserve">Changes in Equity</t>
  </si>
  <si>
    <t xml:space="preserve">Movement in stated capital, statutory reserve, credit risk reserve and income surplus, with a check back to the balance sheet.</t>
  </si>
  <si>
    <t xml:space="preserve">Loan Classification</t>
  </si>
  <si>
    <t xml:space="preserve">Portfolio split by days past due, minimum provision by class, and the credit risk reserve computation.</t>
  </si>
  <si>
    <t xml:space="preserve">Prudential Ratios</t>
  </si>
  <si>
    <t xml:space="preserve">Capital base, capital adequacy, liquidity, single obligor, asset quality and performance ratios.</t>
  </si>
  <si>
    <t xml:space="preserve">Worked Example</t>
  </si>
  <si>
    <t xml:space="preserve">A fictitious but fully articulating set of figures showing the expected format and sign convention.</t>
  </si>
  <si>
    <t xml:space="preserve">HOW TO USE IT</t>
  </si>
  <si>
    <t xml:space="preserve">1.</t>
  </si>
  <si>
    <t xml:space="preserve">Complete the Setup sheet. The institution name and both period dates flow into the heading of every statement.</t>
  </si>
  <si>
    <t xml:space="preserve">2.</t>
  </si>
  <si>
    <t xml:space="preserve">Key the balance sheet and the income statement. Only the shaded cells take an entry; every subtotal is a formula.</t>
  </si>
  <si>
    <t xml:space="preserve">3.</t>
  </si>
  <si>
    <t xml:space="preserve">Complete the loan classification sheet. The gross loans total there must equal the gross loans line on the balance sheet.</t>
  </si>
  <si>
    <t xml:space="preserve">4.</t>
  </si>
  <si>
    <t xml:space="preserve">Complete the investing and financing sections of the cash flow statement and the prior-period column. The operating section builds itself.</t>
  </si>
  <si>
    <t xml:space="preserve">5.</t>
  </si>
  <si>
    <t xml:space="preserve">Complete the changes in equity sheet and the yellow regulatory thresholds on the prudential ratios sheet.</t>
  </si>
  <si>
    <t xml:space="preserve">6.</t>
  </si>
  <si>
    <t xml:space="preserve">Work through every check cell until each one reads OK before the return leaves the building.</t>
  </si>
  <si>
    <t xml:space="preserve">COLOUR AND SIGN CONVENTION</t>
  </si>
  <si>
    <t xml:space="preserve">Blue figures on a cream fill</t>
  </si>
  <si>
    <t xml:space="preserve">A cell you enter. Nothing else in the workbook should be typed over.</t>
  </si>
  <si>
    <t xml:space="preserve">Blue figures on a yellow fill</t>
  </si>
  <si>
    <t xml:space="preserve">A regulatory threshold or a key assumption. Confirm it against the Bank of Ghana notice in force before you rely on it.</t>
  </si>
  <si>
    <t xml:space="preserve">Black figures</t>
  </si>
  <si>
    <t xml:space="preserve">A formula. Do not overwrite.</t>
  </si>
  <si>
    <t xml:space="preserve">Green figures</t>
  </si>
  <si>
    <t xml:space="preserve">A link to another sheet in this workbook.</t>
  </si>
  <si>
    <t xml:space="preserve">Green fill</t>
  </si>
  <si>
    <t xml:space="preserve">A check cell. It reads OK or names the difference.</t>
  </si>
  <si>
    <t xml:space="preserve">Negative numbers</t>
  </si>
  <si>
    <t xml:space="preserve">All expenses, the impairment charge, the tax charge, dividends and the impairment allowance are entered as negative numbers. Subtotals add the column, so a positive expense will overstate profit.</t>
  </si>
  <si>
    <t xml:space="preserve">CHECKS BUILT IN</t>
  </si>
  <si>
    <t xml:space="preserve">Total assets less total liabilities and shareholders' funds.</t>
  </si>
  <si>
    <t xml:space="preserve">Closing cash per the cash flow statement against the cash line on the balance sheet.</t>
  </si>
  <si>
    <t xml:space="preserve">Closing equity against total shareholders' funds on the balance sheet, both periods.</t>
  </si>
  <si>
    <t xml:space="preserve">Total gross loans by classification against the gross loans line on the balance sheet.</t>
  </si>
  <si>
    <t xml:space="preserve">Paid-up capital against the minimum, and the largest single exposure against the single obligor limit.</t>
  </si>
  <si>
    <t xml:space="preserve">BASIS, SOURCES AND WHAT THIS TEMPLATE DOES NOT DO</t>
  </si>
  <si>
    <t xml:space="preserve">Basis</t>
  </si>
  <si>
    <t xml:space="preserve">The line items follow IFRS as applied by Ghanaian deposit-taking institutions, together with the Ghana-specific items a Bank of Ghana return expects: susu deposits, the statutory reserve fund, the credit risk (regulatory) reserve, and loan classification by days past due.</t>
  </si>
  <si>
    <t xml:space="preserve">Not an official BoG form</t>
  </si>
  <si>
    <t xml:space="preserve">This is a working template built to the structure of a Bank of Ghana prudential return. It is not a scan or a reproduction of an official Bank of Ghana form, and it does not replace the return templates the Bank issues to licensed institutions.</t>
  </si>
  <si>
    <t xml:space="preserve">Regulatory figures</t>
  </si>
  <si>
    <t xml:space="preserve">No minimum paid-up capital, capital adequacy ratio, reserve requirement or single obligor limit is asserted as fact anywhere in this workbook. Every such figure sits in a yellow cell for you to enter from the notice in force. The provision rates on the loan classification sheet are pre-filled with the rates commonly applied to microfinance institutions and are likewise yellow: confirm them.</t>
  </si>
  <si>
    <t xml:space="preserve">Why</t>
  </si>
  <si>
    <t xml:space="preserve">The Bank of Ghana website (bog.gov.gh) could not be reached from the environment this workbook was built in, so the current thresholds could not be read off the source documents.</t>
  </si>
  <si>
    <t xml:space="preserve">Documents to check</t>
  </si>
  <si>
    <t xml:space="preserve">Operating Rules and Guidelines for Microfinance Institutions (Notice BG/GOV/SEC/2011/04, as amended); Notice No. 3/BOG/SEC/GOV/2026 on the revised microfinance sector framework; Banks and Specialised Deposit-Taking Institutions Act, 2016 (Act 930); Non-Bank Financial Institutions Act, 2008 (Act 774).</t>
  </si>
  <si>
    <t xml:space="preserve">Statutory reserve</t>
  </si>
  <si>
    <t xml:space="preserve">Section 34 of Act 930 sets the transfer to the statutory reserve fund as a proportion of net profit that varies with the ratio of existing reserves to paid-up capital. The template leaves the transfer as an entry rather than computing it.</t>
  </si>
  <si>
    <t xml:space="preserve">PREPARED</t>
  </si>
  <si>
    <t xml:space="preserve">Date</t>
  </si>
  <si>
    <t xml:space="preserve">30 August 2026</t>
  </si>
  <si>
    <t xml:space="preserve">Rounding</t>
  </si>
  <si>
    <t xml:space="preserve">All statements are formatted to the nearest Ghana Cedi. Zero values show as a dash.</t>
  </si>
  <si>
    <t xml:space="preserve">REPORTING ENTITY AND PERIOD</t>
  </si>
  <si>
    <t xml:space="preserve">Complete this sheet first. Every other sheet reads its headings from here.</t>
  </si>
  <si>
    <t xml:space="preserve">Field</t>
  </si>
  <si>
    <t xml:space="preserve">Entry</t>
  </si>
  <si>
    <t xml:space="preserve">Guidance</t>
  </si>
  <si>
    <t xml:space="preserve">Name of the microfinance institution</t>
  </si>
  <si>
    <t xml:space="preserve">Akwaaba Microfinance Company Limited</t>
  </si>
  <si>
    <t xml:space="preserve">As registered with the Registrar of Companies.</t>
  </si>
  <si>
    <t xml:space="preserve">Bank of Ghana licence category / tier</t>
  </si>
  <si>
    <t xml:space="preserve">Tier 2 - Deposit-taking Microfinance Company</t>
  </si>
  <si>
    <t xml:space="preserve">Tier 1 / Tier 2 (MFC) / Tier 3 (Money Lender, Financial NGO) - or the category under the current BoG microfinance framework.</t>
  </si>
  <si>
    <t xml:space="preserve">Bank of Ghana licence number</t>
  </si>
  <si>
    <t xml:space="preserve">As shown on the licence certificate.</t>
  </si>
  <si>
    <t xml:space="preserve">Reporting currency</t>
  </si>
  <si>
    <t xml:space="preserve">Ghana Cedis (GH¢)</t>
  </si>
  <si>
    <t xml:space="preserve">BoG returns are rendered in Ghana Cedis.</t>
  </si>
  <si>
    <t xml:space="preserve">Current reporting period ended</t>
  </si>
  <si>
    <t xml:space="preserve">31 December 2025</t>
  </si>
  <si>
    <t xml:space="preserve">Column D heading on every statement.</t>
  </si>
  <si>
    <t xml:space="preserve">Prior reporting period ended</t>
  </si>
  <si>
    <t xml:space="preserve">31 December 2024</t>
  </si>
  <si>
    <t xml:space="preserve">Column E heading on every statement.</t>
  </si>
  <si>
    <t xml:space="preserve">Reporting frequency of this return</t>
  </si>
  <si>
    <t xml:space="preserve">Annual</t>
  </si>
  <si>
    <t xml:space="preserve">Monthly / Quarterly / Annual.</t>
  </si>
  <si>
    <t xml:space="preserve">Basis of preparation</t>
  </si>
  <si>
    <t xml:space="preserve">IFRS as adopted in Ghana, and the Bank of Ghana prudential requirements</t>
  </si>
  <si>
    <t xml:space="preserve">Ordinary shares in issue (number)</t>
  </si>
  <si>
    <t xml:space="preserve">Used for the earnings per share line only.</t>
  </si>
  <si>
    <t xml:space="preserve">Prepared by (name and date)</t>
  </si>
  <si>
    <t xml:space="preserve">Sign-off required before submission.</t>
  </si>
  <si>
    <t xml:space="preserve">Reviewed / approved by (name and date)</t>
  </si>
  <si>
    <t xml:space="preserve">Ordinarily the Managing Director and the Board.</t>
  </si>
  <si>
    <t xml:space="preserve">STATEMENT OF FINANCIAL POSITION (BALANCE SHEET)</t>
  </si>
  <si>
    <t xml:space="preserve">All amounts are in Ghana Cedis (GH¢) unless otherwise stated</t>
  </si>
  <si>
    <t xml:space="preserve">Note</t>
  </si>
  <si>
    <t xml:space="preserve">Movement
GH¢</t>
  </si>
  <si>
    <t xml:space="preserve">ASSETS</t>
  </si>
  <si>
    <t xml:space="preserve">Cash and cash equivalents</t>
  </si>
  <si>
    <t xml:space="preserve">Cash on hand</t>
  </si>
  <si>
    <t xml:space="preserve">Balances with banks in Ghana</t>
  </si>
  <si>
    <t xml:space="preserve">Balances with banks outside Ghana</t>
  </si>
  <si>
    <t xml:space="preserve">Placements with banks and other financial institutions (maturing within 3 months)</t>
  </si>
  <si>
    <t xml:space="preserve">Total cash and cash equivalents</t>
  </si>
  <si>
    <t xml:space="preserve">Investments</t>
  </si>
  <si>
    <t xml:space="preserve">Government of Ghana treasury bills and bonds</t>
  </si>
  <si>
    <t xml:space="preserve">Placements and deposits maturing after 3 months</t>
  </si>
  <si>
    <t xml:space="preserve">Other investment securities</t>
  </si>
  <si>
    <t xml:space="preserve">Total investments</t>
  </si>
  <si>
    <t xml:space="preserve">Loans and advances to customers</t>
  </si>
  <si>
    <t xml:space="preserve">Gross loans and advances to customers</t>
  </si>
  <si>
    <t xml:space="preserve">Less: allowance for impairment / expected credit losses (enter as negative)</t>
  </si>
  <si>
    <t xml:space="preserve">Net loans and advances to customers</t>
  </si>
  <si>
    <t xml:space="preserve">Other assets, prepayments and receivables</t>
  </si>
  <si>
    <t xml:space="preserve">Current income tax asset</t>
  </si>
  <si>
    <t xml:space="preserve">Investments in subsidiaries and associates</t>
  </si>
  <si>
    <t xml:space="preserve">Property, plant and equipment</t>
  </si>
  <si>
    <t xml:space="preserve">Right-of-use assets</t>
  </si>
  <si>
    <t xml:space="preserve">Intangible assets</t>
  </si>
  <si>
    <t xml:space="preserve">Deferred income tax asset</t>
  </si>
  <si>
    <t xml:space="preserve">TOTAL ASSETS</t>
  </si>
  <si>
    <t xml:space="preserve">LIABILITIES</t>
  </si>
  <si>
    <t xml:space="preserve">Deposits from customers</t>
  </si>
  <si>
    <t xml:space="preserve">Savings deposits</t>
  </si>
  <si>
    <t xml:space="preserve">Susu deposits</t>
  </si>
  <si>
    <t xml:space="preserve">Time and fixed deposits</t>
  </si>
  <si>
    <t xml:space="preserve">Other customer deposit accounts</t>
  </si>
  <si>
    <t xml:space="preserve">Total deposits from customers</t>
  </si>
  <si>
    <t xml:space="preserve">Borrowings</t>
  </si>
  <si>
    <t xml:space="preserve">Due to banks and other financial institutions</t>
  </si>
  <si>
    <t xml:space="preserve">Term borrowings and on-lending / wholesale funds</t>
  </si>
  <si>
    <t xml:space="preserve">Total borrowings</t>
  </si>
  <si>
    <t xml:space="preserve">Lease liabilities</t>
  </si>
  <si>
    <t xml:space="preserve">Other liabilities, accruals and provisions</t>
  </si>
  <si>
    <t xml:space="preserve">Current income tax liability</t>
  </si>
  <si>
    <t xml:space="preserve">Deferred income tax liability</t>
  </si>
  <si>
    <t xml:space="preserve">Dividend payable</t>
  </si>
  <si>
    <t xml:space="preserve">TOTAL LIABILITIES</t>
  </si>
  <si>
    <t xml:space="preserve">SHAREHOLDERS' FUNDS (EQUITY)</t>
  </si>
  <si>
    <t xml:space="preserve">Stated capital (paid-up capital)</t>
  </si>
  <si>
    <t xml:space="preserve">Income surplus / (accumulated deficit)</t>
  </si>
  <si>
    <t xml:space="preserve">Statutory reserve fund</t>
  </si>
  <si>
    <t xml:space="preserve">Credit risk (regulatory) reserve</t>
  </si>
  <si>
    <t xml:space="preserve">Property revaluation reserve</t>
  </si>
  <si>
    <t xml:space="preserve">Other reserves</t>
  </si>
  <si>
    <t xml:space="preserve">TOTAL SHAREHOLDERS' FUNDS</t>
  </si>
  <si>
    <t xml:space="preserve">TOTAL LIABILITIES AND SHAREHOLDERS' FUNDS</t>
  </si>
  <si>
    <t xml:space="preserve">Balance check (total assets less total liabilities and equity)</t>
  </si>
  <si>
    <t xml:space="preserve">The credit risk (regulatory) reserve holds the excess of the Bank of Ghana minimum provision over the IFRS 9 impairment allowance. It is an appropriation of income surplus, not a charge to profit or loss. The required balance is computed on the 'Loan Classification' sheet.</t>
  </si>
  <si>
    <t xml:space="preserve">Enter the allowance for impairment as a negative number. Every other asset line is entered as a positive number.</t>
  </si>
  <si>
    <t xml:space="preserve">STATEMENT OF COMPREHENSIVE INCOME (INCOME STATEMENT)</t>
  </si>
  <si>
    <t xml:space="preserve">INTEREST INCOME AND EXPENSE</t>
  </si>
  <si>
    <t xml:space="preserve">Interest income on loans and advances to customers</t>
  </si>
  <si>
    <t xml:space="preserve">Interest income on investments in government securities</t>
  </si>
  <si>
    <t xml:space="preserve">Interest income on placements with financial institutions</t>
  </si>
  <si>
    <t xml:space="preserve">Total interest income</t>
  </si>
  <si>
    <t xml:space="preserve">Interest expense on customer deposits (enter as negative)</t>
  </si>
  <si>
    <t xml:space="preserve">Interest expense on borrowings and leases (enter as negative)</t>
  </si>
  <si>
    <t xml:space="preserve">Total interest expense</t>
  </si>
  <si>
    <t xml:space="preserve">NET INTEREST INCOME</t>
  </si>
  <si>
    <t xml:space="preserve">NON-INTEREST INCOME</t>
  </si>
  <si>
    <t xml:space="preserve">Fees and commission income</t>
  </si>
  <si>
    <t xml:space="preserve">Fees and commission expense (enter as negative)</t>
  </si>
  <si>
    <t xml:space="preserve">Net fees and commission income</t>
  </si>
  <si>
    <t xml:space="preserve">Net trading and foreign exchange income</t>
  </si>
  <si>
    <t xml:space="preserve">Other operating income (recoveries, sundry income)</t>
  </si>
  <si>
    <t xml:space="preserve">TOTAL OPERATING INCOME</t>
  </si>
  <si>
    <t xml:space="preserve">IMPAIRMENT AND OPERATING EXPENSES</t>
  </si>
  <si>
    <t xml:space="preserve">Impairment loss on loans and advances, net of recoveries (enter as negative)</t>
  </si>
  <si>
    <t xml:space="preserve">Impairment loss on other financial assets (enter as negative)</t>
  </si>
  <si>
    <t xml:space="preserve">NET OPERATING INCOME</t>
  </si>
  <si>
    <t xml:space="preserve">Personnel expenses (enter as negative)</t>
  </si>
  <si>
    <t xml:space="preserve">Depreciation of property, plant and equipment (enter as negative)</t>
  </si>
  <si>
    <t xml:space="preserve">Depreciation of right-of-use assets (enter as negative)</t>
  </si>
  <si>
    <t xml:space="preserve">Amortisation of intangible assets (enter as negative)</t>
  </si>
  <si>
    <t xml:space="preserve">Directors' emoluments (enter as negative)</t>
  </si>
  <si>
    <t xml:space="preserve">Occupancy, utilities and general administrative expenses (enter as negative)</t>
  </si>
  <si>
    <t xml:space="preserve">Other operating expenses (enter as negative)</t>
  </si>
  <si>
    <t xml:space="preserve">TOTAL OPERATING EXPENSES</t>
  </si>
  <si>
    <t xml:space="preserve">PROFIT / (LOSS) BEFORE TAX</t>
  </si>
  <si>
    <t xml:space="preserve">TAXATION AND RESULT FOR THE PERIOD</t>
  </si>
  <si>
    <t xml:space="preserve">Current income tax expense (enter as negative)</t>
  </si>
  <si>
    <t xml:space="preserve">Deferred income tax (charge) / credit</t>
  </si>
  <si>
    <t xml:space="preserve">Growth and Sustainability Levy, where applicable (enter as negative)</t>
  </si>
  <si>
    <t xml:space="preserve">PROFIT / (LOSS) AFTER TAX</t>
  </si>
  <si>
    <t xml:space="preserve">Gain on revaluation of property, net of tax</t>
  </si>
  <si>
    <t xml:space="preserve">Fair value movement on investments at FVOCI, net of tax</t>
  </si>
  <si>
    <t xml:space="preserve">Other comprehensive income for the period</t>
  </si>
  <si>
    <t xml:space="preserve">TOTAL COMPREHENSIVE INCOME FOR THE PERIOD</t>
  </si>
  <si>
    <t xml:space="preserve">APPROPRIATIONS AND PER-SHARE DATA (MEMORANDUM)</t>
  </si>
  <si>
    <t xml:space="preserve">Transfer to the statutory reserve fund</t>
  </si>
  <si>
    <t xml:space="preserve">Transfer to / (from) the credit risk (regulatory) reserve</t>
  </si>
  <si>
    <t xml:space="preserve">Dividend declared</t>
  </si>
  <si>
    <t xml:space="preserve">Basic earnings per share (GH¢)</t>
  </si>
  <si>
    <t xml:space="preserve">Enter all expenses, tax charges and the impairment charge as negative numbers. The subtotals add the column, so a positive expense will overstate profit.</t>
  </si>
  <si>
    <t xml:space="preserve">Under section 34 of Act 930, transfers to the statutory reserve fund are made out of net profit at a rate that depends on the ratio of existing reserves to paid-up capital. Confirm the applicable rate for your institution before completing the appropriation lines.</t>
  </si>
  <si>
    <t xml:space="preserve">STATEMENT OF CASH FLOWS (INDIRECT METHOD)</t>
  </si>
  <si>
    <t xml:space="preserve">CASH FLOWS FROM OPERATING ACTIVITIES</t>
  </si>
  <si>
    <t xml:space="preserve">Profit / (loss) before tax</t>
  </si>
  <si>
    <t xml:space="preserve">Adjustments for non-cash and non-operating items:</t>
  </si>
  <si>
    <t xml:space="preserve">Depreciation of property, plant and equipment</t>
  </si>
  <si>
    <t xml:space="preserve">Depreciation of right-of-use assets</t>
  </si>
  <si>
    <t xml:space="preserve">Amortisation of intangible assets</t>
  </si>
  <si>
    <t xml:space="preserve">Impairment loss on loans and advances</t>
  </si>
  <si>
    <t xml:space="preserve">Impairment loss on other financial assets</t>
  </si>
  <si>
    <t xml:space="preserve">Interest expense on borrowings and leases</t>
  </si>
  <si>
    <t xml:space="preserve">(Profit) / loss on disposal of property, plant and equipment</t>
  </si>
  <si>
    <t xml:space="preserve">Other non-cash items</t>
  </si>
  <si>
    <t xml:space="preserve">Operating profit before changes in operating assets and liabilities</t>
  </si>
  <si>
    <t xml:space="preserve">Changes in operating assets and liabilities:</t>
  </si>
  <si>
    <t xml:space="preserve">(Increase) / decrease in gross loans and advances to customers</t>
  </si>
  <si>
    <t xml:space="preserve">(Increase) / decrease in other assets, prepayments and receivables</t>
  </si>
  <si>
    <t xml:space="preserve">(Increase) / decrease in restricted and mandatory reserve balances</t>
  </si>
  <si>
    <t xml:space="preserve">Increase / (decrease) in deposits from customers</t>
  </si>
  <si>
    <t xml:space="preserve">Increase / (decrease) in other liabilities, accruals and provisions</t>
  </si>
  <si>
    <t xml:space="preserve">Cash generated from / (used in) operations</t>
  </si>
  <si>
    <t xml:space="preserve">Income tax paid (enter as negative)</t>
  </si>
  <si>
    <t xml:space="preserve">NET CASH FROM / (USED IN) OPERATING ACTIVITIES</t>
  </si>
  <si>
    <t xml:space="preserve">CASH FLOWS FROM INVESTING ACTIVITIES</t>
  </si>
  <si>
    <t xml:space="preserve">Purchase of property, plant and equipment (enter as negative)</t>
  </si>
  <si>
    <t xml:space="preserve">Proceeds from disposal of property, plant and equipment</t>
  </si>
  <si>
    <t xml:space="preserve">Purchase of intangible assets (enter as negative)</t>
  </si>
  <si>
    <t xml:space="preserve">Purchase of investment securities (enter as negative)</t>
  </si>
  <si>
    <t xml:space="preserve">Proceeds from maturity and disposal of investment securities</t>
  </si>
  <si>
    <t xml:space="preserve">Dividends and other investment income received</t>
  </si>
  <si>
    <t xml:space="preserve">NET CASH FROM / (USED IN) INVESTING ACTIVITIES</t>
  </si>
  <si>
    <t xml:space="preserve">CASH FLOWS FROM FINANCING ACTIVITIES</t>
  </si>
  <si>
    <t xml:space="preserve">Proceeds from the issue of shares / capital injection</t>
  </si>
  <si>
    <t xml:space="preserve">Proceeds from borrowings</t>
  </si>
  <si>
    <t xml:space="preserve">Repayment of borrowings (enter as negative)</t>
  </si>
  <si>
    <t xml:space="preserve">Interest paid on borrowings (enter as negative)</t>
  </si>
  <si>
    <t xml:space="preserve">Principal element of lease payments (enter as negative)</t>
  </si>
  <si>
    <t xml:space="preserve">Dividends paid to shareholders (enter as negative)</t>
  </si>
  <si>
    <t xml:space="preserve">NET CASH FROM / (USED IN) FINANCING ACTIVITIES</t>
  </si>
  <si>
    <t xml:space="preserve">NET INCREASE / (DECREASE) IN CASH AND CASH EQUIVALENTS</t>
  </si>
  <si>
    <t xml:space="preserve">Cash and cash equivalents at the beginning of the period</t>
  </si>
  <si>
    <t xml:space="preserve">CASH AND CASH EQUIVALENTS AT THE END OF THE PERIOD</t>
  </si>
  <si>
    <t xml:space="preserve">Cash check (statement of cash flows less statement of financial position)</t>
  </si>
  <si>
    <t xml:space="preserve">Column D is built from the balance sheet and income statement and needs no entry. Column E (prior period) is entered by hand from the previous set of signed accounts, because it needs balances from two periods back.</t>
  </si>
  <si>
    <t xml:space="preserve">The add-back of the impairment charge is paired with the movement in GROSS loans and advances. Where loans have been written off during the period, enter the write-off as a NEGATIVE on the 'Other non-cash items' line, since the write-off reduces gross loans without any cash moving.</t>
  </si>
  <si>
    <t xml:space="preserve">STATEMENT OF CHANGES IN EQUITY</t>
  </si>
  <si>
    <t xml:space="preserve">Stated capital
GH¢</t>
  </si>
  <si>
    <t xml:space="preserve">Statutory reserve fund
GH¢</t>
  </si>
  <si>
    <t xml:space="preserve">Credit risk reserve
GH¢</t>
  </si>
  <si>
    <t xml:space="preserve">Revaluation reserve
GH¢</t>
  </si>
  <si>
    <t xml:space="preserve">Other reserves
GH¢</t>
  </si>
  <si>
    <t xml:space="preserve">Income surplus
GH¢</t>
  </si>
  <si>
    <t xml:space="preserve">Total
GH¢</t>
  </si>
  <si>
    <t xml:space="preserve">Balance at the beginning of the period</t>
  </si>
  <si>
    <t xml:space="preserve">Profit / (loss) for the period</t>
  </si>
  <si>
    <t xml:space="preserve">Transfer to / (from) the statutory reserve fund</t>
  </si>
  <si>
    <t xml:space="preserve">Issue of shares / capital injection</t>
  </si>
  <si>
    <t xml:space="preserve">Dividends declared and paid</t>
  </si>
  <si>
    <t xml:space="preserve">Other movements</t>
  </si>
  <si>
    <t xml:space="preserve">Balance at the end of the period</t>
  </si>
  <si>
    <t xml:space="preserve">Agreement check: closing equity above against the statement of financial position</t>
  </si>
  <si>
    <t xml:space="preserve">Enter reductions (dividends, transfers out of income surplus) as negative numbers. A transfer between reserves must net to nil across the row.</t>
  </si>
  <si>
    <t xml:space="preserve">LOAN PORTFOLIO CLASSIFICATION AND PROVISIONING</t>
  </si>
  <si>
    <t xml:space="preserve">Classification</t>
  </si>
  <si>
    <t xml:space="preserve">Days past due</t>
  </si>
  <si>
    <t xml:space="preserve">Gross loan balance
GH¢</t>
  </si>
  <si>
    <t xml:space="preserve">% of portfolio</t>
  </si>
  <si>
    <t xml:space="preserve">Minimum
provision rate</t>
  </si>
  <si>
    <t xml:space="preserve">Minimum provision
required  GH¢</t>
  </si>
  <si>
    <t xml:space="preserve">Security / collateral
value  GH¢</t>
  </si>
  <si>
    <t xml:space="preserve">Notes</t>
  </si>
  <si>
    <t xml:space="preserve">Current</t>
  </si>
  <si>
    <t xml:space="preserve">0 - 30 days</t>
  </si>
  <si>
    <t xml:space="preserve">The days-past-due bands and provision rates in the yellow cells are the ones commonly applied to microfinance institutions. Confirm them against the Bank of Ghana notice in force for your tier before you file, and overwrite these cells if they differ.</t>
  </si>
  <si>
    <t xml:space="preserve">Other Loans Especially Mentioned (OLEM)</t>
  </si>
  <si>
    <t xml:space="preserve">31 - 60 days</t>
  </si>
  <si>
    <t xml:space="preserve">Substandard</t>
  </si>
  <si>
    <t xml:space="preserve">61 - 90 days</t>
  </si>
  <si>
    <t xml:space="preserve">Doubtful</t>
  </si>
  <si>
    <t xml:space="preserve">91 - 180 days</t>
  </si>
  <si>
    <t xml:space="preserve">Loss</t>
  </si>
  <si>
    <t xml:space="preserve">Over 180 days</t>
  </si>
  <si>
    <t xml:space="preserve">TOTAL GROSS LOANS AND ADVANCES</t>
  </si>
  <si>
    <t xml:space="preserve">RECONCILIATION TO THE IMPAIRMENT ALLOWANCE AND THE CREDIT RISK RESERVE</t>
  </si>
  <si>
    <t xml:space="preserve">Bank of Ghana minimum provision required</t>
  </si>
  <si>
    <t xml:space="preserve">IFRS 9 expected credit loss allowance carried in the balance sheet</t>
  </si>
  <si>
    <t xml:space="preserve">Credit risk (regulatory) reserve required</t>
  </si>
  <si>
    <t xml:space="preserve">Credit risk (regulatory) reserve currently held in equity</t>
  </si>
  <si>
    <t xml:space="preserve">Further transfer to / (release from) the credit risk reserve</t>
  </si>
  <si>
    <t xml:space="preserve">PORTFOLIO QUALITY</t>
  </si>
  <si>
    <t xml:space="preserve">Portfolio at risk over 30 days (PAR&gt;30)</t>
  </si>
  <si>
    <t xml:space="preserve">Non-performing loan ratio (substandard, doubtful and loss)</t>
  </si>
  <si>
    <t xml:space="preserve">Provision coverage of non-performing loans</t>
  </si>
  <si>
    <t xml:space="preserve">Gross loans as a percentage of total assets</t>
  </si>
  <si>
    <t xml:space="preserve">Check: total gross loans above must equal the gross loans line on the balance sheet.</t>
  </si>
  <si>
    <t xml:space="preserve">PRUDENTIAL RATIOS AND PERFORMANCE INDICATORS</t>
  </si>
  <si>
    <t xml:space="preserve">Indicator</t>
  </si>
  <si>
    <t xml:space="preserve">Current period</t>
  </si>
  <si>
    <t xml:space="preserve">Prior period</t>
  </si>
  <si>
    <t xml:space="preserve">Regulatory
minimum / limit</t>
  </si>
  <si>
    <t xml:space="preserve">Status</t>
  </si>
  <si>
    <t xml:space="preserve">Basis of computation</t>
  </si>
  <si>
    <t xml:space="preserve">A.  CAPITAL</t>
  </si>
  <si>
    <t xml:space="preserve">Balance sheet.</t>
  </si>
  <si>
    <t xml:space="preserve">Disclosed reserves (income surplus, statutory and other reserves)</t>
  </si>
  <si>
    <t xml:space="preserve">Total shareholders' funds less stated capital.</t>
  </si>
  <si>
    <t xml:space="preserve">Less: intangible assets</t>
  </si>
  <si>
    <t xml:space="preserve">Intangibles are deducted from the capital base.</t>
  </si>
  <si>
    <t xml:space="preserve">Less: deferred tax asset</t>
  </si>
  <si>
    <t xml:space="preserve">Deduct where the supervisor does not recognise it as capital.</t>
  </si>
  <si>
    <t xml:space="preserve">Less: other regulatory deductions (enter as negative)</t>
  </si>
  <si>
    <t xml:space="preserve">Unsecured connected-party exposures and any other deduction the Bank of Ghana directs.</t>
  </si>
  <si>
    <t xml:space="preserve">ADJUSTED CAPITAL BASE (NET OWN FUNDS)</t>
  </si>
  <si>
    <t xml:space="preserve">Minimum paid-up capital required by the Bank of Ghana</t>
  </si>
  <si>
    <t xml:space="preserve">Enter the figure applicable to your tier under the microfinance framework currently in force. VERIFY - this is not pre-filled.</t>
  </si>
  <si>
    <t xml:space="preserve">Paid-up capital compliance</t>
  </si>
  <si>
    <t xml:space="preserve">B.  CAPITAL ADEQUACY</t>
  </si>
  <si>
    <t xml:space="preserve">Total risk-weighted assets</t>
  </si>
  <si>
    <t xml:space="preserve">Computed on the Bank of Ghana capital adequacy return. Enter the total here.</t>
  </si>
  <si>
    <t xml:space="preserve">Capital adequacy ratio</t>
  </si>
  <si>
    <t xml:space="preserve">Adjusted capital base divided by total risk-weighted assets. Confirm the minimum in the yellow cell against the notice in force.</t>
  </si>
  <si>
    <t xml:space="preserve">Leverage: shareholders' funds to total assets</t>
  </si>
  <si>
    <t xml:space="preserve">Total shareholders' funds divided by total assets.</t>
  </si>
  <si>
    <t xml:space="preserve">C.  LIQUIDITY AND RESERVES</t>
  </si>
  <si>
    <t xml:space="preserve">Liquid assets</t>
  </si>
  <si>
    <t xml:space="preserve">Cash and cash equivalents plus Government of Ghana securities.</t>
  </si>
  <si>
    <t xml:space="preserve">Liquidity ratio</t>
  </si>
  <si>
    <t xml:space="preserve">Liquid assets divided by total deposits. Overwrite the yellow cell with the primary reserve requirement applicable to your tier.</t>
  </si>
  <si>
    <t xml:space="preserve">Primary reserve requirement (% of total deposits)</t>
  </si>
  <si>
    <t xml:space="preserve">VERIFY against the current Bank of Ghana notice.</t>
  </si>
  <si>
    <t xml:space="preserve">Primary reserve amount required</t>
  </si>
  <si>
    <t xml:space="preserve">Total deposits multiplied by the rate above.</t>
  </si>
  <si>
    <t xml:space="preserve">D.  CREDIT CONCENTRATION</t>
  </si>
  <si>
    <t xml:space="preserve">Single obligor limit (% of net own funds)</t>
  </si>
  <si>
    <t xml:space="preserve">VERIFY against the current Bank of Ghana notice for your tier.</t>
  </si>
  <si>
    <t xml:space="preserve">Maximum permitted exposure to a single borrower or group</t>
  </si>
  <si>
    <t xml:space="preserve">Adjusted capital base multiplied by the limit above.</t>
  </si>
  <si>
    <t xml:space="preserve">Largest single exposure actually outstanding</t>
  </si>
  <si>
    <t xml:space="preserve">From the loan ledger, aggregated for connected borrowers.</t>
  </si>
  <si>
    <t xml:space="preserve">Single obligor compliance</t>
  </si>
  <si>
    <t xml:space="preserve">Deposit concentration ceiling (% of paid-up capital)</t>
  </si>
  <si>
    <t xml:space="preserve">The 2011 operating rules cap any single deposit at 5% of paid-up capital for Tier 2. VERIFY against the framework in force.</t>
  </si>
  <si>
    <t xml:space="preserve">Maximum permitted single deposit</t>
  </si>
  <si>
    <t xml:space="preserve">Paid-up capital multiplied by the ceiling above.</t>
  </si>
  <si>
    <t xml:space="preserve">Largest single deposit held</t>
  </si>
  <si>
    <t xml:space="preserve">From the deposit ledger.</t>
  </si>
  <si>
    <t xml:space="preserve">E.  ASSET QUALITY</t>
  </si>
  <si>
    <t xml:space="preserve">From the loan classification sheet.</t>
  </si>
  <si>
    <t xml:space="preserve">F.  PROFITABILITY AND EFFICIENCY</t>
  </si>
  <si>
    <t xml:space="preserve">Return on average assets</t>
  </si>
  <si>
    <t xml:space="preserve">Profit after tax divided by the average of opening and closing total assets.</t>
  </si>
  <si>
    <t xml:space="preserve">Return on average shareholders' funds</t>
  </si>
  <si>
    <t xml:space="preserve">Profit after tax divided by average shareholders' funds.</t>
  </si>
  <si>
    <t xml:space="preserve">Gross portfolio yield</t>
  </si>
  <si>
    <t xml:space="preserve">Interest income on loans divided by average gross loans.</t>
  </si>
  <si>
    <t xml:space="preserve">Cost to income ratio</t>
  </si>
  <si>
    <t xml:space="preserve">Total operating expenses divided by total operating income.</t>
  </si>
  <si>
    <t xml:space="preserve">Operating expense ratio</t>
  </si>
  <si>
    <t xml:space="preserve">Total operating expenses divided by average gross loans.</t>
  </si>
  <si>
    <t xml:space="preserve">Operational self-sufficiency</t>
  </si>
  <si>
    <t xml:space="preserve">Total financial revenue divided by financial expense plus impairment plus operating expense. A ratio below 100% means operations are not covering their own costs.</t>
  </si>
  <si>
    <t xml:space="preserve">Net interest margin</t>
  </si>
  <si>
    <t xml:space="preserve">Net interest income divided by average total assets.</t>
  </si>
  <si>
    <t xml:space="preserve">Every yellow cell is a regulatory threshold that this template does NOT assert. Enter the figure from the Bank of Ghana notice that applies to your tier and reporting date before relying on the compliance column.</t>
  </si>
  <si>
    <t xml:space="preserve">WORKED EXAMPLE - Akwaaba Microfinance Company Limited (fictitious)</t>
  </si>
  <si>
    <t xml:space="preserve">An illustrative, fully articulating set of figures showing the expected format and sign convention. The three statements tie to each other: the balance sheet balances, the cash flow statement reconciles to the cash line, and the credit risk reserve equals the excess of the Bank of Ghana minimum provision over the IFRS 9 allowance.</t>
  </si>
  <si>
    <t xml:space="preserve">STATEMENT OF FINANCIAL POSITION AS AT 31 DECEMBER 2025  (GH¢)</t>
  </si>
  <si>
    <t xml:space="preserve">2025</t>
  </si>
  <si>
    <t xml:space="preserve">2024</t>
  </si>
  <si>
    <t xml:space="preserve">Balances with banks</t>
  </si>
  <si>
    <t xml:space="preserve">Placements maturing within 3 months</t>
  </si>
  <si>
    <t xml:space="preserve">Less: allowance for impairment (IFRS 9)</t>
  </si>
  <si>
    <t xml:space="preserve">Other assets and prepayments</t>
  </si>
  <si>
    <t xml:space="preserve">Other liabilities and accruals</t>
  </si>
  <si>
    <t xml:space="preserve">Stated capital</t>
  </si>
  <si>
    <t xml:space="preserve">Income surplus</t>
  </si>
  <si>
    <t xml:space="preserve">Balance check</t>
  </si>
  <si>
    <t xml:space="preserve">STATEMENT OF COMPREHENSIVE INCOME FOR THE YEAR ENDED 31 DECEMBER 2025  (GH¢)</t>
  </si>
  <si>
    <t xml:space="preserve">Interest income on loans and advances</t>
  </si>
  <si>
    <t xml:space="preserve">Interest income on investments</t>
  </si>
  <si>
    <t xml:space="preserve">Interest expense on customer deposits</t>
  </si>
  <si>
    <t xml:space="preserve">Interest expense on borrowings</t>
  </si>
  <si>
    <t xml:space="preserve">Net interest income</t>
  </si>
  <si>
    <t xml:space="preserve">Fees and commission expense</t>
  </si>
  <si>
    <t xml:space="preserve">Other operating income</t>
  </si>
  <si>
    <t xml:space="preserve">Net operating income</t>
  </si>
  <si>
    <t xml:space="preserve">Personnel expenses</t>
  </si>
  <si>
    <t xml:space="preserve">Other operating and administrative expenses</t>
  </si>
  <si>
    <t xml:space="preserve">Total operating expenses</t>
  </si>
  <si>
    <t xml:space="preserve">PROFIT BEFORE TAX</t>
  </si>
  <si>
    <t xml:space="preserve">Current income tax expense</t>
  </si>
  <si>
    <t xml:space="preserve">Deferred income tax credit</t>
  </si>
  <si>
    <t xml:space="preserve">PROFIT AFTER TAX</t>
  </si>
  <si>
    <t xml:space="preserve">STATEMENT OF CASH FLOWS FOR THE YEAR ENDED 31 DECEMBER 2025  (GH¢)</t>
  </si>
  <si>
    <t xml:space="preserve">Profit before tax</t>
  </si>
  <si>
    <t xml:space="preserve">Increase in gross loans and advances to customers</t>
  </si>
  <si>
    <t xml:space="preserve">Increase in other assets and prepayments</t>
  </si>
  <si>
    <t xml:space="preserve">Increase in deposits from customers</t>
  </si>
  <si>
    <t xml:space="preserve">Increase in other liabilities and accruals</t>
  </si>
  <si>
    <t xml:space="preserve">Cash generated from operations</t>
  </si>
  <si>
    <t xml:space="preserve">Income tax paid</t>
  </si>
  <si>
    <t xml:space="preserve">Net cash from operating activities</t>
  </si>
  <si>
    <t xml:space="preserve">Purchase of property, plant and equipment</t>
  </si>
  <si>
    <t xml:space="preserve">Purchase of intangible assets</t>
  </si>
  <si>
    <t xml:space="preserve">Purchase of investment securities, net</t>
  </si>
  <si>
    <t xml:space="preserve">Net cash used in investing activities</t>
  </si>
  <si>
    <t xml:space="preserve">Proceeds from borrowings, net of repayments</t>
  </si>
  <si>
    <t xml:space="preserve">Interest paid on borrowings</t>
  </si>
  <si>
    <t xml:space="preserve">Principal element of lease payments</t>
  </si>
  <si>
    <t xml:space="preserve">Net cash from financing activities</t>
  </si>
  <si>
    <t xml:space="preserve">Net increase in cash and cash equivalents</t>
  </si>
  <si>
    <t xml:space="preserve">Cash and cash equivalents at 1 January 2025</t>
  </si>
  <si>
    <t xml:space="preserve">Cash and cash equivalents at 31 December 2025</t>
  </si>
  <si>
    <t xml:space="preserve">Cash check against the balance sheet</t>
  </si>
  <si>
    <t xml:space="preserve">Income tax paid = opening tax liability 105,000 + current tax charge 225,000 - closing tax liability 180,000. No loans were written off in the year, so the movement in the impairment allowance equals the charge.</t>
  </si>
  <si>
    <t xml:space="preserve">LOAN CLASSIFICATION AND KEY RATIOS AT 31 DECEMBER 2025</t>
  </si>
  <si>
    <t xml:space="preserve">Gross balance  GH¢</t>
  </si>
  <si>
    <t xml:space="preserve">Provision rate</t>
  </si>
  <si>
    <t xml:space="preserve">Provision required  GH¢</t>
  </si>
  <si>
    <t xml:space="preserve">Other Loans Especially Mentioned</t>
  </si>
  <si>
    <t xml:space="preserve">Total</t>
  </si>
  <si>
    <t xml:space="preserve">Gross loans check against the balance sheet</t>
  </si>
  <si>
    <t xml:space="preserve">IFRS 9 impairment allowance carried in the balance sheet</t>
  </si>
  <si>
    <t xml:space="preserve">Agrees to the credit risk reserve in equity</t>
  </si>
  <si>
    <t xml:space="preserve">Non-performing loan ratio</t>
  </si>
  <si>
    <t xml:space="preserve">Liquidity ratio (cash and government securities to deposits)</t>
  </si>
  <si>
    <t xml:space="preserve">Shareholders' funds to total assets</t>
  </si>
</sst>
</file>

<file path=xl/styles.xml><?xml version="1.0" encoding="utf-8"?>
<styleSheet xmlns="http://schemas.openxmlformats.org/spreadsheetml/2006/main">
  <numFmts count="4">
    <numFmt numFmtId="164" formatCode="General"/>
    <numFmt numFmtId="165" formatCode="#,##0;\(#,##0\);\-"/>
    <numFmt numFmtId="166" formatCode="#,##0.00;\(#,##0.00\);\-"/>
    <numFmt numFmtId="167" formatCode="0.0%;\(0.0%\);\-"/>
  </numFmts>
  <fonts count="2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2"/>
      <color rgb="FF1F3864"/>
      <name val="Arial"/>
      <family val="0"/>
      <charset val="1"/>
    </font>
    <font>
      <i val="true"/>
      <sz val="9"/>
      <color rgb="FF595959"/>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008000"/>
      <name val="Arial"/>
      <family val="0"/>
      <charset val="1"/>
    </font>
    <font>
      <b val="true"/>
      <sz val="13"/>
      <color rgb="FF1F3864"/>
      <name val="Arial"/>
      <family val="0"/>
      <charset val="1"/>
    </font>
    <font>
      <b val="true"/>
      <sz val="10"/>
      <color rgb="FFFFFFFF"/>
      <name val="Arial"/>
      <family val="0"/>
      <charset val="1"/>
    </font>
    <font>
      <sz val="10"/>
      <color rgb="FF0000FF"/>
      <name val="Arial"/>
      <family val="0"/>
      <charset val="1"/>
    </font>
    <font>
      <b val="true"/>
      <sz val="12"/>
      <color rgb="FF008000"/>
      <name val="Arial"/>
      <family val="0"/>
      <charset val="1"/>
    </font>
    <font>
      <b val="true"/>
      <sz val="11"/>
      <color rgb="FF1F3864"/>
      <name val="Arial"/>
      <family val="0"/>
      <charset val="1"/>
    </font>
    <font>
      <b val="true"/>
      <sz val="10"/>
      <color rgb="FF1F3864"/>
      <name val="Arial"/>
      <family val="0"/>
      <charset val="1"/>
    </font>
    <font>
      <i val="true"/>
      <sz val="10"/>
      <color rgb="FF000000"/>
      <name val="Arial"/>
      <family val="0"/>
      <charset val="1"/>
    </font>
    <font>
      <sz val="10"/>
      <color rgb="FF008000"/>
      <name val="Arial"/>
      <family val="0"/>
      <charset val="1"/>
    </font>
    <font>
      <i val="true"/>
      <sz val="9"/>
      <color rgb="FFC00000"/>
      <name val="Arial"/>
      <family val="0"/>
      <charset val="1"/>
    </font>
    <font>
      <b val="true"/>
      <i val="true"/>
      <sz val="9"/>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7D6"/>
        <bgColor rgb="FFFFFFFF"/>
      </patternFill>
    </fill>
    <fill>
      <patternFill patternType="solid">
        <fgColor rgb="FFFFFF00"/>
        <bgColor rgb="FFFFFF00"/>
      </patternFill>
    </fill>
    <fill>
      <patternFill patternType="solid">
        <fgColor rgb="FFE2EFDA"/>
        <bgColor rgb="FFD9E2F3"/>
      </patternFill>
    </fill>
    <fill>
      <patternFill patternType="solid">
        <fgColor rgb="FFD9E2F3"/>
        <bgColor rgb="FFE2EFDA"/>
      </patternFill>
    </fill>
  </fills>
  <borders count="3">
    <border diagonalUp="false" diagonalDown="false">
      <left/>
      <right/>
      <top/>
      <bottom/>
      <diagonal/>
    </border>
    <border diagonalUp="false" diagonalDown="false">
      <left/>
      <right/>
      <top style="thin">
        <color rgb="FF808080"/>
      </top>
      <bottom/>
      <diagonal/>
    </border>
    <border diagonalUp="false" diagonalDown="false">
      <left/>
      <right/>
      <top style="thin">
        <color rgb="FF808080"/>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13"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center" textRotation="0" wrapText="tru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1" shrinkToFit="false"/>
      <protection locked="true" hidden="false"/>
    </xf>
    <xf numFmtId="164" fontId="9" fillId="0" borderId="0" xfId="0" applyFont="true" applyBorder="false" applyAlignment="true" applyProtection="false">
      <alignment horizontal="general" vertical="bottom" textRotation="0" wrapText="false" indent="2"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1"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center"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13" fillId="4"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7" fontId="13" fillId="3"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7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C55A11"/>
      <rgbColor rgb="FF595959"/>
      <rgbColor rgb="FF7F7F7F"/>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C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96"/>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row>
    <row r="7" customFormat="false" ht="15" hidden="false" customHeight="false" outlineLevel="0" collapsed="false">
      <c r="B7" s="6" t="s">
        <v>4</v>
      </c>
      <c r="C7" s="7" t="s">
        <v>5</v>
      </c>
    </row>
    <row r="8" customFormat="false" ht="15" hidden="false" customHeight="false" outlineLevel="0" collapsed="false">
      <c r="B8" s="6" t="s">
        <v>6</v>
      </c>
      <c r="C8" s="7" t="s">
        <v>7</v>
      </c>
    </row>
    <row r="9" customFormat="false" ht="15" hidden="false" customHeight="false" outlineLevel="0" collapsed="false">
      <c r="B9" s="6" t="s">
        <v>8</v>
      </c>
      <c r="C9" s="7" t="s">
        <v>9</v>
      </c>
    </row>
    <row r="10" customFormat="false" ht="23.85" hidden="false" customHeight="false" outlineLevel="0" collapsed="false">
      <c r="B10" s="6" t="s">
        <v>10</v>
      </c>
      <c r="C10" s="7" t="s">
        <v>11</v>
      </c>
    </row>
    <row r="11" customFormat="false" ht="15" hidden="false" customHeight="false" outlineLevel="0" collapsed="false">
      <c r="B11" s="6" t="s">
        <v>12</v>
      </c>
      <c r="C11" s="7" t="s">
        <v>13</v>
      </c>
    </row>
    <row r="12" customFormat="false" ht="15" hidden="false" customHeight="false" outlineLevel="0" collapsed="false">
      <c r="B12" s="6" t="s">
        <v>14</v>
      </c>
      <c r="C12" s="7" t="s">
        <v>15</v>
      </c>
    </row>
    <row r="13" customFormat="false" ht="15" hidden="false" customHeight="false" outlineLevel="0" collapsed="false">
      <c r="B13" s="6" t="s">
        <v>16</v>
      </c>
      <c r="C13" s="7" t="s">
        <v>17</v>
      </c>
    </row>
    <row r="14" customFormat="false" ht="15" hidden="false" customHeight="false" outlineLevel="0" collapsed="false">
      <c r="B14" s="6" t="s">
        <v>18</v>
      </c>
      <c r="C14" s="7" t="s">
        <v>19</v>
      </c>
    </row>
    <row r="16" customFormat="false" ht="15" hidden="false" customHeight="false" outlineLevel="0" collapsed="false">
      <c r="B16" s="4" t="s">
        <v>20</v>
      </c>
      <c r="C16" s="5"/>
    </row>
    <row r="17" customFormat="false" ht="15" hidden="false" customHeight="false" outlineLevel="0" collapsed="false">
      <c r="B17" s="6" t="s">
        <v>21</v>
      </c>
      <c r="C17" s="7" t="s">
        <v>22</v>
      </c>
    </row>
    <row r="18" customFormat="false" ht="15" hidden="false" customHeight="false" outlineLevel="0" collapsed="false">
      <c r="B18" s="6" t="s">
        <v>23</v>
      </c>
      <c r="C18" s="7" t="s">
        <v>24</v>
      </c>
    </row>
    <row r="19" customFormat="false" ht="15" hidden="false" customHeight="false" outlineLevel="0" collapsed="false">
      <c r="B19" s="6" t="s">
        <v>25</v>
      </c>
      <c r="C19" s="7" t="s">
        <v>26</v>
      </c>
    </row>
    <row r="20" customFormat="false" ht="15" hidden="false" customHeight="false" outlineLevel="0" collapsed="false">
      <c r="B20" s="6" t="s">
        <v>27</v>
      </c>
      <c r="C20" s="7" t="s">
        <v>28</v>
      </c>
    </row>
    <row r="21" customFormat="false" ht="15" hidden="false" customHeight="false" outlineLevel="0" collapsed="false">
      <c r="B21" s="6" t="s">
        <v>29</v>
      </c>
      <c r="C21" s="7" t="s">
        <v>30</v>
      </c>
    </row>
    <row r="22" customFormat="false" ht="15" hidden="false" customHeight="false" outlineLevel="0" collapsed="false">
      <c r="B22" s="6" t="s">
        <v>31</v>
      </c>
      <c r="C22" s="7" t="s">
        <v>32</v>
      </c>
    </row>
    <row r="24" customFormat="false" ht="15" hidden="false" customHeight="false" outlineLevel="0" collapsed="false">
      <c r="B24" s="4" t="s">
        <v>33</v>
      </c>
      <c r="C24" s="5"/>
    </row>
    <row r="25" customFormat="false" ht="15" hidden="false" customHeight="false" outlineLevel="0" collapsed="false">
      <c r="B25" s="8" t="s">
        <v>34</v>
      </c>
      <c r="C25" s="7" t="s">
        <v>35</v>
      </c>
    </row>
    <row r="26" customFormat="false" ht="15" hidden="false" customHeight="false" outlineLevel="0" collapsed="false">
      <c r="B26" s="9" t="s">
        <v>36</v>
      </c>
      <c r="C26" s="7" t="s">
        <v>37</v>
      </c>
    </row>
    <row r="27" customFormat="false" ht="15" hidden="false" customHeight="false" outlineLevel="0" collapsed="false">
      <c r="B27" s="6" t="s">
        <v>38</v>
      </c>
      <c r="C27" s="7" t="s">
        <v>39</v>
      </c>
    </row>
    <row r="28" customFormat="false" ht="15" hidden="false" customHeight="false" outlineLevel="0" collapsed="false">
      <c r="B28" s="10" t="s">
        <v>40</v>
      </c>
      <c r="C28" s="7" t="s">
        <v>41</v>
      </c>
    </row>
    <row r="29" customFormat="false" ht="15" hidden="false" customHeight="false" outlineLevel="0" collapsed="false">
      <c r="B29" s="11" t="s">
        <v>42</v>
      </c>
      <c r="C29" s="7" t="s">
        <v>43</v>
      </c>
    </row>
    <row r="30" customFormat="false" ht="23.85" hidden="false" customHeight="false" outlineLevel="0" collapsed="false">
      <c r="B30" s="6" t="s">
        <v>44</v>
      </c>
      <c r="C30" s="7" t="s">
        <v>45</v>
      </c>
    </row>
    <row r="32" customFormat="false" ht="15" hidden="false" customHeight="false" outlineLevel="0" collapsed="false">
      <c r="B32" s="4" t="s">
        <v>46</v>
      </c>
      <c r="C32" s="5"/>
    </row>
    <row r="33" customFormat="false" ht="15" hidden="false" customHeight="false" outlineLevel="0" collapsed="false">
      <c r="B33" s="6" t="s">
        <v>6</v>
      </c>
      <c r="C33" s="7" t="s">
        <v>47</v>
      </c>
    </row>
    <row r="34" customFormat="false" ht="15" hidden="false" customHeight="false" outlineLevel="0" collapsed="false">
      <c r="B34" s="6" t="s">
        <v>10</v>
      </c>
      <c r="C34" s="7" t="s">
        <v>48</v>
      </c>
    </row>
    <row r="35" customFormat="false" ht="15" hidden="false" customHeight="false" outlineLevel="0" collapsed="false">
      <c r="B35" s="6" t="s">
        <v>12</v>
      </c>
      <c r="C35" s="7" t="s">
        <v>49</v>
      </c>
    </row>
    <row r="36" customFormat="false" ht="15" hidden="false" customHeight="false" outlineLevel="0" collapsed="false">
      <c r="B36" s="6" t="s">
        <v>14</v>
      </c>
      <c r="C36" s="7" t="s">
        <v>50</v>
      </c>
    </row>
    <row r="37" customFormat="false" ht="15" hidden="false" customHeight="false" outlineLevel="0" collapsed="false">
      <c r="B37" s="6" t="s">
        <v>16</v>
      </c>
      <c r="C37" s="7" t="s">
        <v>51</v>
      </c>
    </row>
    <row r="39" customFormat="false" ht="15" hidden="false" customHeight="false" outlineLevel="0" collapsed="false">
      <c r="B39" s="4" t="s">
        <v>52</v>
      </c>
      <c r="C39" s="5"/>
    </row>
    <row r="40" customFormat="false" ht="23.85" hidden="false" customHeight="false" outlineLevel="0" collapsed="false">
      <c r="B40" s="6" t="s">
        <v>53</v>
      </c>
      <c r="C40" s="7" t="s">
        <v>54</v>
      </c>
    </row>
    <row r="41" customFormat="false" ht="23.85" hidden="false" customHeight="false" outlineLevel="0" collapsed="false">
      <c r="B41" s="6" t="s">
        <v>55</v>
      </c>
      <c r="C41" s="7" t="s">
        <v>56</v>
      </c>
    </row>
    <row r="42" customFormat="false" ht="35.05" hidden="false" customHeight="false" outlineLevel="0" collapsed="false">
      <c r="B42" s="6" t="s">
        <v>57</v>
      </c>
      <c r="C42" s="7" t="s">
        <v>58</v>
      </c>
    </row>
    <row r="43" customFormat="false" ht="23.85" hidden="false" customHeight="false" outlineLevel="0" collapsed="false">
      <c r="B43" s="6" t="s">
        <v>59</v>
      </c>
      <c r="C43" s="7" t="s">
        <v>60</v>
      </c>
    </row>
    <row r="44" customFormat="false" ht="35.05" hidden="false" customHeight="false" outlineLevel="0" collapsed="false">
      <c r="B44" s="6" t="s">
        <v>61</v>
      </c>
      <c r="C44" s="7" t="s">
        <v>62</v>
      </c>
    </row>
    <row r="45" customFormat="false" ht="23.85" hidden="false" customHeight="false" outlineLevel="0" collapsed="false">
      <c r="B45" s="6" t="s">
        <v>63</v>
      </c>
      <c r="C45" s="7" t="s">
        <v>64</v>
      </c>
    </row>
    <row r="47" customFormat="false" ht="15" hidden="false" customHeight="false" outlineLevel="0" collapsed="false">
      <c r="B47" s="4" t="s">
        <v>65</v>
      </c>
      <c r="C47" s="5"/>
    </row>
    <row r="48" customFormat="false" ht="15" hidden="false" customHeight="false" outlineLevel="0" collapsed="false">
      <c r="B48" s="6" t="s">
        <v>66</v>
      </c>
      <c r="C48" s="7" t="s">
        <v>67</v>
      </c>
    </row>
    <row r="49" customFormat="false" ht="15" hidden="false" customHeight="false" outlineLevel="0" collapsed="false">
      <c r="B49" s="6" t="s">
        <v>68</v>
      </c>
      <c r="C49" s="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2: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40"/>
    <col collapsed="false" customWidth="true" hidden="false" outlineLevel="0" max="4" min="4" style="0" width="60"/>
  </cols>
  <sheetData>
    <row r="2" customFormat="false" ht="16.15" hidden="false" customHeight="false" outlineLevel="0" collapsed="false">
      <c r="B2" s="12" t="s">
        <v>70</v>
      </c>
    </row>
    <row r="3" customFormat="false" ht="15" hidden="false" customHeight="false" outlineLevel="0" collapsed="false">
      <c r="B3" s="3" t="s">
        <v>71</v>
      </c>
    </row>
    <row r="5" customFormat="false" ht="15" hidden="false" customHeight="false" outlineLevel="0" collapsed="false">
      <c r="B5" s="13" t="s">
        <v>72</v>
      </c>
      <c r="C5" s="13" t="s">
        <v>73</v>
      </c>
      <c r="D5" s="13" t="s">
        <v>74</v>
      </c>
    </row>
    <row r="6" customFormat="false" ht="15" hidden="false" customHeight="false" outlineLevel="0" collapsed="false">
      <c r="B6" s="14" t="s">
        <v>75</v>
      </c>
      <c r="C6" s="15" t="s">
        <v>76</v>
      </c>
      <c r="D6" s="16" t="s">
        <v>77</v>
      </c>
    </row>
    <row r="7" customFormat="false" ht="22.35" hidden="false" customHeight="false" outlineLevel="0" collapsed="false">
      <c r="B7" s="14" t="s">
        <v>78</v>
      </c>
      <c r="C7" s="15" t="s">
        <v>79</v>
      </c>
      <c r="D7" s="16" t="s">
        <v>80</v>
      </c>
    </row>
    <row r="8" customFormat="false" ht="15" hidden="false" customHeight="false" outlineLevel="0" collapsed="false">
      <c r="B8" s="14" t="s">
        <v>81</v>
      </c>
      <c r="C8" s="15"/>
      <c r="D8" s="16" t="s">
        <v>82</v>
      </c>
    </row>
    <row r="9" customFormat="false" ht="15" hidden="false" customHeight="false" outlineLevel="0" collapsed="false">
      <c r="B9" s="14" t="s">
        <v>83</v>
      </c>
      <c r="C9" s="15" t="s">
        <v>84</v>
      </c>
      <c r="D9" s="16" t="s">
        <v>85</v>
      </c>
    </row>
    <row r="10" customFormat="false" ht="15" hidden="false" customHeight="false" outlineLevel="0" collapsed="false">
      <c r="B10" s="14" t="s">
        <v>86</v>
      </c>
      <c r="C10" s="15" t="s">
        <v>87</v>
      </c>
      <c r="D10" s="16" t="s">
        <v>88</v>
      </c>
    </row>
    <row r="11" customFormat="false" ht="15" hidden="false" customHeight="false" outlineLevel="0" collapsed="false">
      <c r="B11" s="14" t="s">
        <v>89</v>
      </c>
      <c r="C11" s="15" t="s">
        <v>90</v>
      </c>
      <c r="D11" s="16" t="s">
        <v>91</v>
      </c>
    </row>
    <row r="12" customFormat="false" ht="15" hidden="false" customHeight="false" outlineLevel="0" collapsed="false">
      <c r="B12" s="14" t="s">
        <v>92</v>
      </c>
      <c r="C12" s="15" t="s">
        <v>93</v>
      </c>
      <c r="D12" s="16" t="s">
        <v>94</v>
      </c>
    </row>
    <row r="13" customFormat="false" ht="15" hidden="false" customHeight="false" outlineLevel="0" collapsed="false">
      <c r="B13" s="14" t="s">
        <v>95</v>
      </c>
      <c r="C13" s="15" t="s">
        <v>96</v>
      </c>
      <c r="D13" s="16"/>
    </row>
    <row r="14" customFormat="false" ht="15" hidden="false" customHeight="false" outlineLevel="0" collapsed="false">
      <c r="B14" s="14" t="s">
        <v>97</v>
      </c>
      <c r="C14" s="17" t="n">
        <v>2000000</v>
      </c>
      <c r="D14" s="16" t="s">
        <v>98</v>
      </c>
    </row>
    <row r="15" customFormat="false" ht="15" hidden="false" customHeight="false" outlineLevel="0" collapsed="false">
      <c r="B15" s="14" t="s">
        <v>99</v>
      </c>
      <c r="C15" s="15"/>
      <c r="D15" s="16" t="s">
        <v>100</v>
      </c>
    </row>
    <row r="16" customFormat="false" ht="15" hidden="false" customHeight="false" outlineLevel="0" collapsed="false">
      <c r="B16" s="14" t="s">
        <v>101</v>
      </c>
      <c r="C16" s="15"/>
      <c r="D16" s="16"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1:F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2"/>
    <col collapsed="false" customWidth="true" hidden="false" outlineLevel="0" max="3" min="3" style="0" width="7"/>
    <col collapsed="false" customWidth="true" hidden="false" outlineLevel="0" max="6" min="4" style="0" width="18"/>
  </cols>
  <sheetData>
    <row r="1" customFormat="false" ht="15" hidden="false" customHeight="false" outlineLevel="0" collapsed="false">
      <c r="B1" s="18" t="str">
        <f aca="false">Setup!$C$6</f>
        <v>Akwaaba Microfinance Company Limited</v>
      </c>
    </row>
    <row r="2" customFormat="false" ht="15" hidden="false" customHeight="false" outlineLevel="0" collapsed="false">
      <c r="B2" s="19" t="s">
        <v>103</v>
      </c>
    </row>
    <row r="3" customFormat="false" ht="15" hidden="false" customHeight="false" outlineLevel="0" collapsed="false">
      <c r="B3" s="20" t="str">
        <f aca="false">"As at "&amp;Setup!$C$10</f>
        <v>As at 31 December 2025</v>
      </c>
    </row>
    <row r="4" customFormat="false" ht="15" hidden="false" customHeight="false" outlineLevel="0" collapsed="false">
      <c r="B4" s="3" t="s">
        <v>104</v>
      </c>
    </row>
    <row r="6" customFormat="false" ht="30" hidden="false" customHeight="true" outlineLevel="0" collapsed="false">
      <c r="B6" s="21"/>
      <c r="C6" s="22" t="s">
        <v>105</v>
      </c>
      <c r="D6" s="22" t="str">
        <f aca="false">"Current period"&amp;CHAR(10)&amp;Setup!$C$10&amp;CHAR(10)&amp;"GH¢"</f>
        <v>Current period
31 December 2025
GH¢</v>
      </c>
      <c r="E6" s="22" t="str">
        <f aca="false">"Prior period"&amp;CHAR(10)&amp;Setup!$C$11&amp;CHAR(10)&amp;"GH¢"</f>
        <v>Prior period
31 December 2024
GH¢</v>
      </c>
      <c r="F6" s="22" t="s">
        <v>106</v>
      </c>
    </row>
    <row r="7" customFormat="false" ht="15" hidden="false" customHeight="false" outlineLevel="0" collapsed="false">
      <c r="B7" s="23" t="s">
        <v>107</v>
      </c>
      <c r="C7" s="24"/>
      <c r="D7" s="24"/>
      <c r="E7" s="24"/>
      <c r="F7" s="24"/>
    </row>
    <row r="8" customFormat="false" ht="15" hidden="false" customHeight="false" outlineLevel="0" collapsed="false">
      <c r="B8" s="25" t="s">
        <v>108</v>
      </c>
    </row>
    <row r="9" customFormat="false" ht="15" hidden="false" customHeight="false" outlineLevel="0" collapsed="false">
      <c r="B9" s="26" t="s">
        <v>109</v>
      </c>
      <c r="D9" s="17"/>
      <c r="E9" s="17"/>
      <c r="F9" s="27" t="n">
        <f aca="false">D9-E9</f>
        <v>0</v>
      </c>
    </row>
    <row r="10" customFormat="false" ht="15" hidden="false" customHeight="false" outlineLevel="0" collapsed="false">
      <c r="B10" s="26" t="s">
        <v>110</v>
      </c>
      <c r="D10" s="17"/>
      <c r="E10" s="17"/>
      <c r="F10" s="27" t="n">
        <f aca="false">D10-E10</f>
        <v>0</v>
      </c>
    </row>
    <row r="11" customFormat="false" ht="15" hidden="false" customHeight="false" outlineLevel="0" collapsed="false">
      <c r="B11" s="26" t="s">
        <v>111</v>
      </c>
      <c r="D11" s="17"/>
      <c r="E11" s="17"/>
      <c r="F11" s="27" t="n">
        <f aca="false">D11-E11</f>
        <v>0</v>
      </c>
    </row>
    <row r="12" customFormat="false" ht="15" hidden="false" customHeight="false" outlineLevel="0" collapsed="false">
      <c r="B12" s="26" t="s">
        <v>112</v>
      </c>
      <c r="D12" s="17"/>
      <c r="E12" s="17"/>
      <c r="F12" s="27" t="n">
        <f aca="false">D12-E12</f>
        <v>0</v>
      </c>
    </row>
    <row r="13" customFormat="false" ht="15" hidden="false" customHeight="false" outlineLevel="0" collapsed="false">
      <c r="B13" s="28" t="s">
        <v>113</v>
      </c>
      <c r="D13" s="29" t="n">
        <f aca="false">SUM(D9:D12)</f>
        <v>0</v>
      </c>
      <c r="E13" s="29" t="n">
        <f aca="false">SUM(E9:E12)</f>
        <v>0</v>
      </c>
      <c r="F13" s="29" t="n">
        <f aca="false">D13-E13</f>
        <v>0</v>
      </c>
    </row>
    <row r="14" customFormat="false" ht="6" hidden="false" customHeight="true" outlineLevel="0" collapsed="false"/>
    <row r="15" customFormat="false" ht="15" hidden="false" customHeight="false" outlineLevel="0" collapsed="false">
      <c r="B15" s="25" t="s">
        <v>114</v>
      </c>
    </row>
    <row r="16" customFormat="false" ht="15" hidden="false" customHeight="false" outlineLevel="0" collapsed="false">
      <c r="B16" s="26" t="s">
        <v>115</v>
      </c>
      <c r="D16" s="17"/>
      <c r="E16" s="17"/>
      <c r="F16" s="27" t="n">
        <f aca="false">D16-E16</f>
        <v>0</v>
      </c>
    </row>
    <row r="17" customFormat="false" ht="15" hidden="false" customHeight="false" outlineLevel="0" collapsed="false">
      <c r="B17" s="26" t="s">
        <v>116</v>
      </c>
      <c r="D17" s="17"/>
      <c r="E17" s="17"/>
      <c r="F17" s="27" t="n">
        <f aca="false">D17-E17</f>
        <v>0</v>
      </c>
    </row>
    <row r="18" customFormat="false" ht="15" hidden="false" customHeight="false" outlineLevel="0" collapsed="false">
      <c r="B18" s="26" t="s">
        <v>117</v>
      </c>
      <c r="D18" s="17"/>
      <c r="E18" s="17"/>
      <c r="F18" s="27" t="n">
        <f aca="false">D18-E18</f>
        <v>0</v>
      </c>
    </row>
    <row r="19" customFormat="false" ht="15" hidden="false" customHeight="false" outlineLevel="0" collapsed="false">
      <c r="B19" s="28" t="s">
        <v>118</v>
      </c>
      <c r="D19" s="29" t="n">
        <f aca="false">SUM(D16:D18)</f>
        <v>0</v>
      </c>
      <c r="E19" s="29" t="n">
        <f aca="false">SUM(E16:E18)</f>
        <v>0</v>
      </c>
      <c r="F19" s="29" t="n">
        <f aca="false">D19-E19</f>
        <v>0</v>
      </c>
    </row>
    <row r="20" customFormat="false" ht="6" hidden="false" customHeight="true" outlineLevel="0" collapsed="false"/>
    <row r="21" customFormat="false" ht="15" hidden="false" customHeight="false" outlineLevel="0" collapsed="false">
      <c r="B21" s="25" t="s">
        <v>119</v>
      </c>
    </row>
    <row r="22" customFormat="false" ht="15" hidden="false" customHeight="false" outlineLevel="0" collapsed="false">
      <c r="B22" s="26" t="s">
        <v>120</v>
      </c>
      <c r="D22" s="17"/>
      <c r="E22" s="17"/>
      <c r="F22" s="27" t="n">
        <f aca="false">D22-E22</f>
        <v>0</v>
      </c>
    </row>
    <row r="23" customFormat="false" ht="15" hidden="false" customHeight="false" outlineLevel="0" collapsed="false">
      <c r="B23" s="26" t="s">
        <v>121</v>
      </c>
      <c r="D23" s="17"/>
      <c r="E23" s="17"/>
      <c r="F23" s="27" t="n">
        <f aca="false">D23-E23</f>
        <v>0</v>
      </c>
    </row>
    <row r="24" customFormat="false" ht="15" hidden="false" customHeight="false" outlineLevel="0" collapsed="false">
      <c r="B24" s="28" t="s">
        <v>122</v>
      </c>
      <c r="D24" s="29" t="n">
        <f aca="false">D22+D23</f>
        <v>0</v>
      </c>
      <c r="E24" s="29" t="n">
        <f aca="false">E22+E23</f>
        <v>0</v>
      </c>
      <c r="F24" s="29" t="n">
        <f aca="false">D24-E24</f>
        <v>0</v>
      </c>
    </row>
    <row r="25" customFormat="false" ht="6" hidden="false" customHeight="true" outlineLevel="0" collapsed="false"/>
    <row r="26" customFormat="false" ht="15" hidden="false" customHeight="false" outlineLevel="0" collapsed="false">
      <c r="B26" s="26" t="s">
        <v>123</v>
      </c>
      <c r="D26" s="17"/>
      <c r="E26" s="17"/>
      <c r="F26" s="27" t="n">
        <f aca="false">D26-E26</f>
        <v>0</v>
      </c>
    </row>
    <row r="27" customFormat="false" ht="15" hidden="false" customHeight="false" outlineLevel="0" collapsed="false">
      <c r="B27" s="26" t="s">
        <v>124</v>
      </c>
      <c r="D27" s="17"/>
      <c r="E27" s="17"/>
      <c r="F27" s="27" t="n">
        <f aca="false">D27-E27</f>
        <v>0</v>
      </c>
    </row>
    <row r="28" customFormat="false" ht="15" hidden="false" customHeight="false" outlineLevel="0" collapsed="false">
      <c r="B28" s="26" t="s">
        <v>125</v>
      </c>
      <c r="D28" s="17"/>
      <c r="E28" s="17"/>
      <c r="F28" s="27" t="n">
        <f aca="false">D28-E28</f>
        <v>0</v>
      </c>
    </row>
    <row r="29" customFormat="false" ht="15" hidden="false" customHeight="false" outlineLevel="0" collapsed="false">
      <c r="B29" s="26" t="s">
        <v>126</v>
      </c>
      <c r="D29" s="17"/>
      <c r="E29" s="17"/>
      <c r="F29" s="27" t="n">
        <f aca="false">D29-E29</f>
        <v>0</v>
      </c>
    </row>
    <row r="30" customFormat="false" ht="15" hidden="false" customHeight="false" outlineLevel="0" collapsed="false">
      <c r="B30" s="26" t="s">
        <v>127</v>
      </c>
      <c r="D30" s="17"/>
      <c r="E30" s="17"/>
      <c r="F30" s="27" t="n">
        <f aca="false">D30-E30</f>
        <v>0</v>
      </c>
    </row>
    <row r="31" customFormat="false" ht="15" hidden="false" customHeight="false" outlineLevel="0" collapsed="false">
      <c r="B31" s="26" t="s">
        <v>128</v>
      </c>
      <c r="D31" s="17"/>
      <c r="E31" s="17"/>
      <c r="F31" s="27" t="n">
        <f aca="false">D31-E31</f>
        <v>0</v>
      </c>
    </row>
    <row r="32" customFormat="false" ht="15" hidden="false" customHeight="false" outlineLevel="0" collapsed="false">
      <c r="B32" s="26" t="s">
        <v>129</v>
      </c>
      <c r="D32" s="17"/>
      <c r="E32" s="17"/>
      <c r="F32" s="27" t="n">
        <f aca="false">D32-E32</f>
        <v>0</v>
      </c>
    </row>
    <row r="33" customFormat="false" ht="15" hidden="false" customHeight="false" outlineLevel="0" collapsed="false">
      <c r="B33" s="30" t="s">
        <v>130</v>
      </c>
      <c r="C33" s="31"/>
      <c r="D33" s="32" t="n">
        <f aca="false">D13+D19+D24+SUM(D26:D32)</f>
        <v>0</v>
      </c>
      <c r="E33" s="32" t="n">
        <f aca="false">E13+E19+E24+SUM(E26:E32)</f>
        <v>0</v>
      </c>
      <c r="F33" s="32" t="n">
        <f aca="false">D33-E33</f>
        <v>0</v>
      </c>
    </row>
    <row r="34" customFormat="false" ht="12" hidden="false" customHeight="true" outlineLevel="0" collapsed="false"/>
    <row r="35" customFormat="false" ht="15" hidden="false" customHeight="false" outlineLevel="0" collapsed="false">
      <c r="B35" s="23" t="s">
        <v>131</v>
      </c>
      <c r="C35" s="24"/>
      <c r="D35" s="24"/>
      <c r="E35" s="24"/>
      <c r="F35" s="24"/>
    </row>
    <row r="36" customFormat="false" ht="15" hidden="false" customHeight="false" outlineLevel="0" collapsed="false">
      <c r="B36" s="25" t="s">
        <v>132</v>
      </c>
    </row>
    <row r="37" customFormat="false" ht="15" hidden="false" customHeight="false" outlineLevel="0" collapsed="false">
      <c r="B37" s="26" t="s">
        <v>133</v>
      </c>
      <c r="D37" s="17"/>
      <c r="E37" s="17"/>
      <c r="F37" s="27" t="n">
        <f aca="false">D37-E37</f>
        <v>0</v>
      </c>
    </row>
    <row r="38" customFormat="false" ht="15" hidden="false" customHeight="false" outlineLevel="0" collapsed="false">
      <c r="B38" s="26" t="s">
        <v>134</v>
      </c>
      <c r="D38" s="17"/>
      <c r="E38" s="17"/>
      <c r="F38" s="27" t="n">
        <f aca="false">D38-E38</f>
        <v>0</v>
      </c>
    </row>
    <row r="39" customFormat="false" ht="15" hidden="false" customHeight="false" outlineLevel="0" collapsed="false">
      <c r="B39" s="26" t="s">
        <v>135</v>
      </c>
      <c r="D39" s="17"/>
      <c r="E39" s="17"/>
      <c r="F39" s="27" t="n">
        <f aca="false">D39-E39</f>
        <v>0</v>
      </c>
    </row>
    <row r="40" customFormat="false" ht="15" hidden="false" customHeight="false" outlineLevel="0" collapsed="false">
      <c r="B40" s="26" t="s">
        <v>136</v>
      </c>
      <c r="D40" s="17"/>
      <c r="E40" s="17"/>
      <c r="F40" s="27" t="n">
        <f aca="false">D40-E40</f>
        <v>0</v>
      </c>
    </row>
    <row r="41" customFormat="false" ht="15" hidden="false" customHeight="false" outlineLevel="0" collapsed="false">
      <c r="B41" s="28" t="s">
        <v>137</v>
      </c>
      <c r="D41" s="29" t="n">
        <f aca="false">SUM(D37:D40)</f>
        <v>0</v>
      </c>
      <c r="E41" s="29" t="n">
        <f aca="false">SUM(E37:E40)</f>
        <v>0</v>
      </c>
      <c r="F41" s="29" t="n">
        <f aca="false">D41-E41</f>
        <v>0</v>
      </c>
    </row>
    <row r="42" customFormat="false" ht="6" hidden="false" customHeight="true" outlineLevel="0" collapsed="false"/>
    <row r="43" customFormat="false" ht="15" hidden="false" customHeight="false" outlineLevel="0" collapsed="false">
      <c r="B43" s="25" t="s">
        <v>138</v>
      </c>
    </row>
    <row r="44" customFormat="false" ht="15" hidden="false" customHeight="false" outlineLevel="0" collapsed="false">
      <c r="B44" s="26" t="s">
        <v>139</v>
      </c>
      <c r="D44" s="17"/>
      <c r="E44" s="17"/>
      <c r="F44" s="27" t="n">
        <f aca="false">D44-E44</f>
        <v>0</v>
      </c>
    </row>
    <row r="45" customFormat="false" ht="15" hidden="false" customHeight="false" outlineLevel="0" collapsed="false">
      <c r="B45" s="26" t="s">
        <v>140</v>
      </c>
      <c r="D45" s="17"/>
      <c r="E45" s="17"/>
      <c r="F45" s="27" t="n">
        <f aca="false">D45-E45</f>
        <v>0</v>
      </c>
    </row>
    <row r="46" customFormat="false" ht="15" hidden="false" customHeight="false" outlineLevel="0" collapsed="false">
      <c r="B46" s="28" t="s">
        <v>141</v>
      </c>
      <c r="D46" s="29" t="n">
        <f aca="false">SUM(D44:D45)</f>
        <v>0</v>
      </c>
      <c r="E46" s="29" t="n">
        <f aca="false">SUM(E44:E45)</f>
        <v>0</v>
      </c>
      <c r="F46" s="29" t="n">
        <f aca="false">D46-E46</f>
        <v>0</v>
      </c>
    </row>
    <row r="47" customFormat="false" ht="6" hidden="false" customHeight="true" outlineLevel="0" collapsed="false"/>
    <row r="48" customFormat="false" ht="15" hidden="false" customHeight="false" outlineLevel="0" collapsed="false">
      <c r="B48" s="26" t="s">
        <v>142</v>
      </c>
      <c r="D48" s="17"/>
      <c r="E48" s="17"/>
      <c r="F48" s="27" t="n">
        <f aca="false">D48-E48</f>
        <v>0</v>
      </c>
    </row>
    <row r="49" customFormat="false" ht="15" hidden="false" customHeight="false" outlineLevel="0" collapsed="false">
      <c r="B49" s="26" t="s">
        <v>143</v>
      </c>
      <c r="D49" s="17"/>
      <c r="E49" s="17"/>
      <c r="F49" s="27" t="n">
        <f aca="false">D49-E49</f>
        <v>0</v>
      </c>
    </row>
    <row r="50" customFormat="false" ht="15" hidden="false" customHeight="false" outlineLevel="0" collapsed="false">
      <c r="B50" s="26" t="s">
        <v>144</v>
      </c>
      <c r="D50" s="17"/>
      <c r="E50" s="17"/>
      <c r="F50" s="27" t="n">
        <f aca="false">D50-E50</f>
        <v>0</v>
      </c>
    </row>
    <row r="51" customFormat="false" ht="15" hidden="false" customHeight="false" outlineLevel="0" collapsed="false">
      <c r="B51" s="26" t="s">
        <v>145</v>
      </c>
      <c r="D51" s="17"/>
      <c r="E51" s="17"/>
      <c r="F51" s="27" t="n">
        <f aca="false">D51-E51</f>
        <v>0</v>
      </c>
    </row>
    <row r="52" customFormat="false" ht="15" hidden="false" customHeight="false" outlineLevel="0" collapsed="false">
      <c r="B52" s="26" t="s">
        <v>146</v>
      </c>
      <c r="D52" s="17"/>
      <c r="E52" s="17"/>
      <c r="F52" s="27" t="n">
        <f aca="false">D52-E52</f>
        <v>0</v>
      </c>
    </row>
    <row r="53" customFormat="false" ht="15" hidden="false" customHeight="false" outlineLevel="0" collapsed="false">
      <c r="B53" s="33" t="s">
        <v>147</v>
      </c>
      <c r="D53" s="29" t="n">
        <f aca="false">D41+D46+SUM(D48:D52)</f>
        <v>0</v>
      </c>
      <c r="E53" s="29" t="n">
        <f aca="false">E41+E46+SUM(E48:E52)</f>
        <v>0</v>
      </c>
      <c r="F53" s="29" t="n">
        <f aca="false">D53-E53</f>
        <v>0</v>
      </c>
    </row>
    <row r="54" customFormat="false" ht="12" hidden="false" customHeight="true" outlineLevel="0" collapsed="false"/>
    <row r="55" customFormat="false" ht="15" hidden="false" customHeight="false" outlineLevel="0" collapsed="false">
      <c r="B55" s="23" t="s">
        <v>148</v>
      </c>
      <c r="C55" s="24"/>
      <c r="D55" s="24"/>
      <c r="E55" s="24"/>
      <c r="F55" s="24"/>
    </row>
    <row r="56" customFormat="false" ht="15" hidden="false" customHeight="false" outlineLevel="0" collapsed="false">
      <c r="B56" s="26" t="s">
        <v>149</v>
      </c>
      <c r="D56" s="17"/>
      <c r="E56" s="17"/>
      <c r="F56" s="27" t="n">
        <f aca="false">D56-E56</f>
        <v>0</v>
      </c>
    </row>
    <row r="57" customFormat="false" ht="15" hidden="false" customHeight="false" outlineLevel="0" collapsed="false">
      <c r="B57" s="26" t="s">
        <v>150</v>
      </c>
      <c r="D57" s="17"/>
      <c r="E57" s="17"/>
      <c r="F57" s="27" t="n">
        <f aca="false">D57-E57</f>
        <v>0</v>
      </c>
    </row>
    <row r="58" customFormat="false" ht="15" hidden="false" customHeight="false" outlineLevel="0" collapsed="false">
      <c r="B58" s="26" t="s">
        <v>151</v>
      </c>
      <c r="D58" s="17"/>
      <c r="E58" s="17"/>
      <c r="F58" s="27" t="n">
        <f aca="false">D58-E58</f>
        <v>0</v>
      </c>
    </row>
    <row r="59" customFormat="false" ht="15" hidden="false" customHeight="false" outlineLevel="0" collapsed="false">
      <c r="B59" s="26" t="s">
        <v>152</v>
      </c>
      <c r="D59" s="17"/>
      <c r="E59" s="17"/>
      <c r="F59" s="27" t="n">
        <f aca="false">D59-E59</f>
        <v>0</v>
      </c>
    </row>
    <row r="60" customFormat="false" ht="15" hidden="false" customHeight="false" outlineLevel="0" collapsed="false">
      <c r="B60" s="26" t="s">
        <v>153</v>
      </c>
      <c r="D60" s="17"/>
      <c r="E60" s="17"/>
      <c r="F60" s="27" t="n">
        <f aca="false">D60-E60</f>
        <v>0</v>
      </c>
    </row>
    <row r="61" customFormat="false" ht="15" hidden="false" customHeight="false" outlineLevel="0" collapsed="false">
      <c r="B61" s="26" t="s">
        <v>154</v>
      </c>
      <c r="D61" s="17"/>
      <c r="E61" s="17"/>
      <c r="F61" s="27" t="n">
        <f aca="false">D61-E61</f>
        <v>0</v>
      </c>
    </row>
    <row r="62" customFormat="false" ht="15" hidden="false" customHeight="false" outlineLevel="0" collapsed="false">
      <c r="B62" s="33" t="s">
        <v>155</v>
      </c>
      <c r="D62" s="29" t="n">
        <f aca="false">SUM(D56:D61)</f>
        <v>0</v>
      </c>
      <c r="E62" s="29" t="n">
        <f aca="false">SUM(E56:E61)</f>
        <v>0</v>
      </c>
      <c r="F62" s="29" t="n">
        <f aca="false">D62-E62</f>
        <v>0</v>
      </c>
    </row>
    <row r="63" customFormat="false" ht="15" hidden="false" customHeight="false" outlineLevel="0" collapsed="false">
      <c r="B63" s="30" t="s">
        <v>156</v>
      </c>
      <c r="C63" s="31"/>
      <c r="D63" s="32" t="n">
        <f aca="false">D53+D62</f>
        <v>0</v>
      </c>
      <c r="E63" s="32" t="n">
        <f aca="false">E53+E62</f>
        <v>0</v>
      </c>
      <c r="F63" s="32" t="n">
        <f aca="false">D63-E63</f>
        <v>0</v>
      </c>
    </row>
    <row r="64" customFormat="false" ht="6" hidden="false" customHeight="true" outlineLevel="0" collapsed="false"/>
    <row r="65" customFormat="false" ht="15" hidden="false" customHeight="false" outlineLevel="0" collapsed="false">
      <c r="B65" s="28" t="s">
        <v>157</v>
      </c>
      <c r="D65" s="34" t="str">
        <f aca="false">IF(ROUND(D33-D63,0)=0,"OK","OUT BY "&amp;TEXT(D33-D63,"#,##0"))</f>
        <v>OK</v>
      </c>
      <c r="E65" s="34" t="str">
        <f aca="false">IF(ROUND(E33-E63,0)=0,"OK","OUT BY "&amp;TEXT(E33-E63,"#,##0"))</f>
        <v>OK</v>
      </c>
    </row>
    <row r="66" customFormat="false" ht="6" hidden="false" customHeight="true" outlineLevel="0" collapsed="false"/>
    <row r="67" customFormat="false" ht="32.8" hidden="false" customHeight="false" outlineLevel="0" collapsed="false">
      <c r="B67" s="35" t="s">
        <v>158</v>
      </c>
    </row>
    <row r="68" customFormat="false" ht="22.35" hidden="false" customHeight="false" outlineLevel="0" collapsed="false">
      <c r="B68" s="35"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2"/>
    <col collapsed="false" customWidth="true" hidden="false" outlineLevel="0" max="3" min="3" style="0" width="7"/>
    <col collapsed="false" customWidth="true" hidden="false" outlineLevel="0" max="6" min="4" style="0" width="18"/>
  </cols>
  <sheetData>
    <row r="1" customFormat="false" ht="15" hidden="false" customHeight="false" outlineLevel="0" collapsed="false">
      <c r="B1" s="18" t="str">
        <f aca="false">Setup!$C$6</f>
        <v>Akwaaba Microfinance Company Limited</v>
      </c>
    </row>
    <row r="2" customFormat="false" ht="15" hidden="false" customHeight="false" outlineLevel="0" collapsed="false">
      <c r="B2" s="19" t="s">
        <v>160</v>
      </c>
    </row>
    <row r="3" customFormat="false" ht="15" hidden="false" customHeight="false" outlineLevel="0" collapsed="false">
      <c r="B3" s="20" t="str">
        <f aca="false">"For the period ended "&amp;Setup!$C$10</f>
        <v>For the period ended 31 December 2025</v>
      </c>
    </row>
    <row r="4" customFormat="false" ht="15" hidden="false" customHeight="false" outlineLevel="0" collapsed="false">
      <c r="B4" s="3" t="s">
        <v>104</v>
      </c>
    </row>
    <row r="6" customFormat="false" ht="30" hidden="false" customHeight="true" outlineLevel="0" collapsed="false">
      <c r="B6" s="21"/>
      <c r="C6" s="22" t="s">
        <v>105</v>
      </c>
      <c r="D6" s="22" t="str">
        <f aca="false">"Current period"&amp;CHAR(10)&amp;Setup!$C$10&amp;CHAR(10)&amp;"GH¢"</f>
        <v>Current period
31 December 2025
GH¢</v>
      </c>
      <c r="E6" s="22" t="str">
        <f aca="false">"Prior period"&amp;CHAR(10)&amp;Setup!$C$11&amp;CHAR(10)&amp;"GH¢"</f>
        <v>Prior period
31 December 2024
GH¢</v>
      </c>
      <c r="F6" s="22" t="s">
        <v>106</v>
      </c>
    </row>
    <row r="7" customFormat="false" ht="15" hidden="false" customHeight="false" outlineLevel="0" collapsed="false">
      <c r="B7" s="23" t="s">
        <v>161</v>
      </c>
      <c r="C7" s="24"/>
      <c r="D7" s="24"/>
      <c r="E7" s="24"/>
      <c r="F7" s="24"/>
    </row>
    <row r="8" customFormat="false" ht="15" hidden="false" customHeight="false" outlineLevel="0" collapsed="false">
      <c r="B8" s="26" t="s">
        <v>162</v>
      </c>
      <c r="D8" s="17"/>
      <c r="E8" s="17"/>
      <c r="F8" s="27" t="n">
        <f aca="false">D8-E8</f>
        <v>0</v>
      </c>
    </row>
    <row r="9" customFormat="false" ht="15" hidden="false" customHeight="false" outlineLevel="0" collapsed="false">
      <c r="B9" s="26" t="s">
        <v>163</v>
      </c>
      <c r="D9" s="17"/>
      <c r="E9" s="17"/>
      <c r="F9" s="27" t="n">
        <f aca="false">D9-E9</f>
        <v>0</v>
      </c>
    </row>
    <row r="10" customFormat="false" ht="15" hidden="false" customHeight="false" outlineLevel="0" collapsed="false">
      <c r="B10" s="26" t="s">
        <v>164</v>
      </c>
      <c r="D10" s="17"/>
      <c r="E10" s="17"/>
      <c r="F10" s="27" t="n">
        <f aca="false">D10-E10</f>
        <v>0</v>
      </c>
    </row>
    <row r="11" customFormat="false" ht="15" hidden="false" customHeight="false" outlineLevel="0" collapsed="false">
      <c r="B11" s="28" t="s">
        <v>165</v>
      </c>
      <c r="D11" s="29" t="n">
        <f aca="false">SUM(D8:D10)</f>
        <v>0</v>
      </c>
      <c r="E11" s="29" t="n">
        <f aca="false">SUM(E8:E10)</f>
        <v>0</v>
      </c>
      <c r="F11" s="29" t="n">
        <f aca="false">D11-E11</f>
        <v>0</v>
      </c>
    </row>
    <row r="12" customFormat="false" ht="15" hidden="false" customHeight="false" outlineLevel="0" collapsed="false">
      <c r="B12" s="26" t="s">
        <v>166</v>
      </c>
      <c r="D12" s="17"/>
      <c r="E12" s="17"/>
      <c r="F12" s="27" t="n">
        <f aca="false">D12-E12</f>
        <v>0</v>
      </c>
    </row>
    <row r="13" customFormat="false" ht="15" hidden="false" customHeight="false" outlineLevel="0" collapsed="false">
      <c r="B13" s="26" t="s">
        <v>167</v>
      </c>
      <c r="D13" s="17"/>
      <c r="E13" s="17"/>
      <c r="F13" s="27" t="n">
        <f aca="false">D13-E13</f>
        <v>0</v>
      </c>
    </row>
    <row r="14" customFormat="false" ht="15" hidden="false" customHeight="false" outlineLevel="0" collapsed="false">
      <c r="B14" s="28" t="s">
        <v>168</v>
      </c>
      <c r="D14" s="29" t="n">
        <f aca="false">SUM(D12:D13)</f>
        <v>0</v>
      </c>
      <c r="E14" s="29" t="n">
        <f aca="false">SUM(E12:E13)</f>
        <v>0</v>
      </c>
      <c r="F14" s="29" t="n">
        <f aca="false">D14-E14</f>
        <v>0</v>
      </c>
    </row>
    <row r="15" customFormat="false" ht="15" hidden="false" customHeight="false" outlineLevel="0" collapsed="false">
      <c r="B15" s="33" t="s">
        <v>169</v>
      </c>
      <c r="D15" s="29" t="n">
        <f aca="false">D11+D14</f>
        <v>0</v>
      </c>
      <c r="E15" s="29" t="n">
        <f aca="false">E11+E14</f>
        <v>0</v>
      </c>
      <c r="F15" s="29" t="n">
        <f aca="false">D15-E15</f>
        <v>0</v>
      </c>
    </row>
    <row r="16" customFormat="false" ht="6" hidden="false" customHeight="true" outlineLevel="0" collapsed="false"/>
    <row r="17" customFormat="false" ht="15" hidden="false" customHeight="false" outlineLevel="0" collapsed="false">
      <c r="B17" s="23" t="s">
        <v>170</v>
      </c>
      <c r="C17" s="24"/>
      <c r="D17" s="24"/>
      <c r="E17" s="24"/>
      <c r="F17" s="24"/>
    </row>
    <row r="18" customFormat="false" ht="15" hidden="false" customHeight="false" outlineLevel="0" collapsed="false">
      <c r="B18" s="26" t="s">
        <v>171</v>
      </c>
      <c r="D18" s="17"/>
      <c r="E18" s="17"/>
      <c r="F18" s="27" t="n">
        <f aca="false">D18-E18</f>
        <v>0</v>
      </c>
    </row>
    <row r="19" customFormat="false" ht="15" hidden="false" customHeight="false" outlineLevel="0" collapsed="false">
      <c r="B19" s="26" t="s">
        <v>172</v>
      </c>
      <c r="D19" s="17"/>
      <c r="E19" s="17"/>
      <c r="F19" s="27" t="n">
        <f aca="false">D19-E19</f>
        <v>0</v>
      </c>
    </row>
    <row r="20" customFormat="false" ht="15" hidden="false" customHeight="false" outlineLevel="0" collapsed="false">
      <c r="B20" s="28" t="s">
        <v>173</v>
      </c>
      <c r="D20" s="29" t="n">
        <f aca="false">D18+D19</f>
        <v>0</v>
      </c>
      <c r="E20" s="29" t="n">
        <f aca="false">E18+E19</f>
        <v>0</v>
      </c>
      <c r="F20" s="29" t="n">
        <f aca="false">D20-E20</f>
        <v>0</v>
      </c>
    </row>
    <row r="21" customFormat="false" ht="15" hidden="false" customHeight="false" outlineLevel="0" collapsed="false">
      <c r="B21" s="26" t="s">
        <v>174</v>
      </c>
      <c r="D21" s="17"/>
      <c r="E21" s="17"/>
      <c r="F21" s="27" t="n">
        <f aca="false">D21-E21</f>
        <v>0</v>
      </c>
    </row>
    <row r="22" customFormat="false" ht="15" hidden="false" customHeight="false" outlineLevel="0" collapsed="false">
      <c r="B22" s="26" t="s">
        <v>175</v>
      </c>
      <c r="D22" s="17"/>
      <c r="E22" s="17"/>
      <c r="F22" s="27" t="n">
        <f aca="false">D22-E22</f>
        <v>0</v>
      </c>
    </row>
    <row r="23" customFormat="false" ht="15" hidden="false" customHeight="false" outlineLevel="0" collapsed="false">
      <c r="B23" s="33" t="s">
        <v>176</v>
      </c>
      <c r="D23" s="29" t="n">
        <f aca="false">D15+D20+D21+D22</f>
        <v>0</v>
      </c>
      <c r="E23" s="29" t="n">
        <f aca="false">E15+E20+E21+E22</f>
        <v>0</v>
      </c>
      <c r="F23" s="29" t="n">
        <f aca="false">D23-E23</f>
        <v>0</v>
      </c>
    </row>
    <row r="24" customFormat="false" ht="6" hidden="false" customHeight="true" outlineLevel="0" collapsed="false"/>
    <row r="25" customFormat="false" ht="15" hidden="false" customHeight="false" outlineLevel="0" collapsed="false">
      <c r="B25" s="23" t="s">
        <v>177</v>
      </c>
      <c r="C25" s="24"/>
      <c r="D25" s="24"/>
      <c r="E25" s="24"/>
      <c r="F25" s="24"/>
    </row>
    <row r="26" customFormat="false" ht="15" hidden="false" customHeight="false" outlineLevel="0" collapsed="false">
      <c r="B26" s="26" t="s">
        <v>178</v>
      </c>
      <c r="D26" s="17"/>
      <c r="E26" s="17"/>
      <c r="F26" s="27" t="n">
        <f aca="false">D26-E26</f>
        <v>0</v>
      </c>
    </row>
    <row r="27" customFormat="false" ht="15" hidden="false" customHeight="false" outlineLevel="0" collapsed="false">
      <c r="B27" s="26" t="s">
        <v>179</v>
      </c>
      <c r="D27" s="17"/>
      <c r="E27" s="17"/>
      <c r="F27" s="27" t="n">
        <f aca="false">D27-E27</f>
        <v>0</v>
      </c>
    </row>
    <row r="28" customFormat="false" ht="15" hidden="false" customHeight="false" outlineLevel="0" collapsed="false">
      <c r="B28" s="28" t="s">
        <v>180</v>
      </c>
      <c r="D28" s="29" t="n">
        <f aca="false">D23+D26+D27</f>
        <v>0</v>
      </c>
      <c r="E28" s="29" t="n">
        <f aca="false">E23+E26+E27</f>
        <v>0</v>
      </c>
      <c r="F28" s="29" t="n">
        <f aca="false">D28-E28</f>
        <v>0</v>
      </c>
    </row>
    <row r="29" customFormat="false" ht="6" hidden="false" customHeight="true" outlineLevel="0" collapsed="false"/>
    <row r="30" customFormat="false" ht="15" hidden="false" customHeight="false" outlineLevel="0" collapsed="false">
      <c r="B30" s="26" t="s">
        <v>181</v>
      </c>
      <c r="D30" s="17"/>
      <c r="E30" s="17"/>
      <c r="F30" s="27" t="n">
        <f aca="false">D30-E30</f>
        <v>0</v>
      </c>
    </row>
    <row r="31" customFormat="false" ht="15" hidden="false" customHeight="false" outlineLevel="0" collapsed="false">
      <c r="B31" s="26" t="s">
        <v>182</v>
      </c>
      <c r="D31" s="17"/>
      <c r="E31" s="17"/>
      <c r="F31" s="27" t="n">
        <f aca="false">D31-E31</f>
        <v>0</v>
      </c>
    </row>
    <row r="32" customFormat="false" ht="15" hidden="false" customHeight="false" outlineLevel="0" collapsed="false">
      <c r="B32" s="26" t="s">
        <v>183</v>
      </c>
      <c r="D32" s="17"/>
      <c r="E32" s="17"/>
      <c r="F32" s="27" t="n">
        <f aca="false">D32-E32</f>
        <v>0</v>
      </c>
    </row>
    <row r="33" customFormat="false" ht="15" hidden="false" customHeight="false" outlineLevel="0" collapsed="false">
      <c r="B33" s="26" t="s">
        <v>184</v>
      </c>
      <c r="D33" s="17"/>
      <c r="E33" s="17"/>
      <c r="F33" s="27" t="n">
        <f aca="false">D33-E33</f>
        <v>0</v>
      </c>
    </row>
    <row r="34" customFormat="false" ht="15" hidden="false" customHeight="false" outlineLevel="0" collapsed="false">
      <c r="B34" s="26" t="s">
        <v>185</v>
      </c>
      <c r="D34" s="17"/>
      <c r="E34" s="17"/>
      <c r="F34" s="27" t="n">
        <f aca="false">D34-E34</f>
        <v>0</v>
      </c>
    </row>
    <row r="35" customFormat="false" ht="15" hidden="false" customHeight="false" outlineLevel="0" collapsed="false">
      <c r="B35" s="26" t="s">
        <v>186</v>
      </c>
      <c r="D35" s="17"/>
      <c r="E35" s="17"/>
      <c r="F35" s="27" t="n">
        <f aca="false">D35-E35</f>
        <v>0</v>
      </c>
    </row>
    <row r="36" customFormat="false" ht="15" hidden="false" customHeight="false" outlineLevel="0" collapsed="false">
      <c r="B36" s="26" t="s">
        <v>187</v>
      </c>
      <c r="D36" s="17"/>
      <c r="E36" s="17"/>
      <c r="F36" s="27" t="n">
        <f aca="false">D36-E36</f>
        <v>0</v>
      </c>
    </row>
    <row r="37" customFormat="false" ht="15" hidden="false" customHeight="false" outlineLevel="0" collapsed="false">
      <c r="B37" s="28" t="s">
        <v>188</v>
      </c>
      <c r="D37" s="29" t="n">
        <f aca="false">SUM(D30:D36)</f>
        <v>0</v>
      </c>
      <c r="E37" s="29" t="n">
        <f aca="false">SUM(E30:E36)</f>
        <v>0</v>
      </c>
      <c r="F37" s="29" t="n">
        <f aca="false">D37-E37</f>
        <v>0</v>
      </c>
    </row>
    <row r="38" customFormat="false" ht="15" hidden="false" customHeight="false" outlineLevel="0" collapsed="false">
      <c r="B38" s="33" t="s">
        <v>189</v>
      </c>
      <c r="D38" s="29" t="n">
        <f aca="false">D28+D37</f>
        <v>0</v>
      </c>
      <c r="E38" s="29" t="n">
        <f aca="false">E28+E37</f>
        <v>0</v>
      </c>
      <c r="F38" s="29" t="n">
        <f aca="false">D38-E38</f>
        <v>0</v>
      </c>
    </row>
    <row r="39" customFormat="false" ht="6" hidden="false" customHeight="true" outlineLevel="0" collapsed="false"/>
    <row r="40" customFormat="false" ht="15" hidden="false" customHeight="false" outlineLevel="0" collapsed="false">
      <c r="B40" s="23" t="s">
        <v>190</v>
      </c>
      <c r="C40" s="24"/>
      <c r="D40" s="24"/>
      <c r="E40" s="24"/>
      <c r="F40" s="24"/>
    </row>
    <row r="41" customFormat="false" ht="15" hidden="false" customHeight="false" outlineLevel="0" collapsed="false">
      <c r="B41" s="26" t="s">
        <v>191</v>
      </c>
      <c r="D41" s="17"/>
      <c r="E41" s="17"/>
      <c r="F41" s="27" t="n">
        <f aca="false">D41-E41</f>
        <v>0</v>
      </c>
    </row>
    <row r="42" customFormat="false" ht="15" hidden="false" customHeight="false" outlineLevel="0" collapsed="false">
      <c r="B42" s="26" t="s">
        <v>192</v>
      </c>
      <c r="D42" s="17"/>
      <c r="E42" s="17"/>
      <c r="F42" s="27" t="n">
        <f aca="false">D42-E42</f>
        <v>0</v>
      </c>
    </row>
    <row r="43" customFormat="false" ht="15" hidden="false" customHeight="false" outlineLevel="0" collapsed="false">
      <c r="B43" s="26" t="s">
        <v>193</v>
      </c>
      <c r="D43" s="17"/>
      <c r="E43" s="17"/>
      <c r="F43" s="27" t="n">
        <f aca="false">D43-E43</f>
        <v>0</v>
      </c>
    </row>
    <row r="44" customFormat="false" ht="15" hidden="false" customHeight="false" outlineLevel="0" collapsed="false">
      <c r="B44" s="33" t="s">
        <v>194</v>
      </c>
      <c r="D44" s="29" t="n">
        <f aca="false">D38+D41+D42+D43</f>
        <v>0</v>
      </c>
      <c r="E44" s="29" t="n">
        <f aca="false">E38+E41+E42+E43</f>
        <v>0</v>
      </c>
      <c r="F44" s="29" t="n">
        <f aca="false">D44-E44</f>
        <v>0</v>
      </c>
    </row>
    <row r="45" customFormat="false" ht="6" hidden="false" customHeight="true" outlineLevel="0" collapsed="false"/>
    <row r="46" customFormat="false" ht="15" hidden="false" customHeight="false" outlineLevel="0" collapsed="false">
      <c r="B46" s="26" t="s">
        <v>195</v>
      </c>
      <c r="D46" s="17"/>
      <c r="E46" s="17"/>
      <c r="F46" s="27" t="n">
        <f aca="false">D46-E46</f>
        <v>0</v>
      </c>
    </row>
    <row r="47" customFormat="false" ht="15" hidden="false" customHeight="false" outlineLevel="0" collapsed="false">
      <c r="B47" s="26" t="s">
        <v>196</v>
      </c>
      <c r="D47" s="17"/>
      <c r="E47" s="17"/>
      <c r="F47" s="27" t="n">
        <f aca="false">D47-E47</f>
        <v>0</v>
      </c>
    </row>
    <row r="48" customFormat="false" ht="15" hidden="false" customHeight="false" outlineLevel="0" collapsed="false">
      <c r="B48" s="28" t="s">
        <v>197</v>
      </c>
      <c r="D48" s="29" t="n">
        <f aca="false">SUM(D46:D47)</f>
        <v>0</v>
      </c>
      <c r="E48" s="29" t="n">
        <f aca="false">SUM(E46:E47)</f>
        <v>0</v>
      </c>
      <c r="F48" s="29" t="n">
        <f aca="false">D48-E48</f>
        <v>0</v>
      </c>
    </row>
    <row r="49" customFormat="false" ht="15" hidden="false" customHeight="false" outlineLevel="0" collapsed="false">
      <c r="B49" s="30" t="s">
        <v>198</v>
      </c>
      <c r="C49" s="31"/>
      <c r="D49" s="32" t="n">
        <f aca="false">D44+D48</f>
        <v>0</v>
      </c>
      <c r="E49" s="32" t="n">
        <f aca="false">E44+E48</f>
        <v>0</v>
      </c>
      <c r="F49" s="32" t="n">
        <f aca="false">D49-E49</f>
        <v>0</v>
      </c>
    </row>
    <row r="50" customFormat="false" ht="6" hidden="false" customHeight="true" outlineLevel="0" collapsed="false"/>
    <row r="51" customFormat="false" ht="15" hidden="false" customHeight="false" outlineLevel="0" collapsed="false">
      <c r="B51" s="23" t="s">
        <v>199</v>
      </c>
      <c r="C51" s="24"/>
      <c r="D51" s="24"/>
      <c r="E51" s="24"/>
      <c r="F51" s="24"/>
    </row>
    <row r="52" customFormat="false" ht="15" hidden="false" customHeight="false" outlineLevel="0" collapsed="false">
      <c r="B52" s="26" t="s">
        <v>200</v>
      </c>
      <c r="D52" s="17"/>
      <c r="E52" s="17"/>
      <c r="F52" s="27" t="n">
        <f aca="false">D52-E52</f>
        <v>0</v>
      </c>
    </row>
    <row r="53" customFormat="false" ht="15" hidden="false" customHeight="false" outlineLevel="0" collapsed="false">
      <c r="B53" s="26" t="s">
        <v>201</v>
      </c>
      <c r="D53" s="17"/>
      <c r="E53" s="17"/>
      <c r="F53" s="27" t="n">
        <f aca="false">D53-E53</f>
        <v>0</v>
      </c>
    </row>
    <row r="54" customFormat="false" ht="15" hidden="false" customHeight="false" outlineLevel="0" collapsed="false">
      <c r="B54" s="26" t="s">
        <v>202</v>
      </c>
      <c r="D54" s="17"/>
      <c r="E54" s="17"/>
      <c r="F54" s="27" t="n">
        <f aca="false">D54-E54</f>
        <v>0</v>
      </c>
    </row>
    <row r="55" customFormat="false" ht="15" hidden="false" customHeight="false" outlineLevel="0" collapsed="false">
      <c r="B55" s="26" t="s">
        <v>203</v>
      </c>
      <c r="D55" s="36" t="n">
        <f aca="false">IFERROR(D44/Setup!$C$14,"")</f>
        <v>0</v>
      </c>
      <c r="E55" s="36" t="n">
        <f aca="false">IFERROR(E44/Setup!$C$14,"")</f>
        <v>0</v>
      </c>
    </row>
    <row r="56" customFormat="false" ht="6" hidden="false" customHeight="true" outlineLevel="0" collapsed="false"/>
    <row r="57" customFormat="false" ht="22.35" hidden="false" customHeight="false" outlineLevel="0" collapsed="false">
      <c r="B57" s="35" t="s">
        <v>204</v>
      </c>
    </row>
    <row r="58" customFormat="false" ht="32.8" hidden="false" customHeight="false" outlineLevel="0" collapsed="false">
      <c r="B58" s="35" t="s">
        <v>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7"/>
    <col collapsed="false" customWidth="true" hidden="false" outlineLevel="0" max="5" min="4" style="0" width="20"/>
  </cols>
  <sheetData>
    <row r="1" customFormat="false" ht="15" hidden="false" customHeight="false" outlineLevel="0" collapsed="false">
      <c r="B1" s="18" t="str">
        <f aca="false">Setup!$C$6</f>
        <v>Akwaaba Microfinance Company Limited</v>
      </c>
    </row>
    <row r="2" customFormat="false" ht="15" hidden="false" customHeight="false" outlineLevel="0" collapsed="false">
      <c r="B2" s="19" t="s">
        <v>206</v>
      </c>
    </row>
    <row r="3" customFormat="false" ht="15" hidden="false" customHeight="false" outlineLevel="0" collapsed="false">
      <c r="B3" s="20" t="str">
        <f aca="false">"For the period ended "&amp;Setup!$C$10</f>
        <v>For the period ended 31 December 2025</v>
      </c>
    </row>
    <row r="4" customFormat="false" ht="15" hidden="false" customHeight="false" outlineLevel="0" collapsed="false">
      <c r="B4" s="3" t="s">
        <v>104</v>
      </c>
    </row>
    <row r="6" customFormat="false" ht="30" hidden="false" customHeight="true" outlineLevel="0" collapsed="false">
      <c r="B6" s="21"/>
      <c r="C6" s="22" t="s">
        <v>105</v>
      </c>
      <c r="D6" s="22" t="str">
        <f aca="false">"Current period"&amp;CHAR(10)&amp;Setup!$C$10&amp;CHAR(10)&amp;"GH¢"</f>
        <v>Current period
31 December 2025
GH¢</v>
      </c>
      <c r="E6" s="22" t="str">
        <f aca="false">"Prior period"&amp;CHAR(10)&amp;Setup!$C$11&amp;CHAR(10)&amp;"GH¢"</f>
        <v>Prior period
31 December 2024
GH¢</v>
      </c>
    </row>
    <row r="7" customFormat="false" ht="15" hidden="false" customHeight="false" outlineLevel="0" collapsed="false">
      <c r="B7" s="23" t="s">
        <v>207</v>
      </c>
      <c r="C7" s="24"/>
      <c r="D7" s="24"/>
      <c r="E7" s="24"/>
      <c r="F7" s="24"/>
    </row>
    <row r="8" customFormat="false" ht="15" hidden="false" customHeight="false" outlineLevel="0" collapsed="false">
      <c r="B8" s="26" t="s">
        <v>208</v>
      </c>
      <c r="D8" s="37" t="n">
        <f aca="false">'Income Statement'!D38</f>
        <v>0</v>
      </c>
      <c r="E8" s="17"/>
    </row>
    <row r="9" customFormat="false" ht="15" hidden="false" customHeight="false" outlineLevel="0" collapsed="false">
      <c r="B9" s="25" t="s">
        <v>209</v>
      </c>
    </row>
    <row r="10" customFormat="false" ht="15" hidden="false" customHeight="false" outlineLevel="0" collapsed="false">
      <c r="B10" s="26" t="s">
        <v>210</v>
      </c>
      <c r="D10" s="37" t="n">
        <f aca="false">-'Income Statement'!D31</f>
        <v>-0</v>
      </c>
      <c r="E10" s="17"/>
    </row>
    <row r="11" customFormat="false" ht="15" hidden="false" customHeight="false" outlineLevel="0" collapsed="false">
      <c r="B11" s="26" t="s">
        <v>211</v>
      </c>
      <c r="D11" s="37" t="n">
        <f aca="false">-'Income Statement'!D32</f>
        <v>-0</v>
      </c>
      <c r="E11" s="17"/>
    </row>
    <row r="12" customFormat="false" ht="15" hidden="false" customHeight="false" outlineLevel="0" collapsed="false">
      <c r="B12" s="26" t="s">
        <v>212</v>
      </c>
      <c r="D12" s="37" t="n">
        <f aca="false">-'Income Statement'!D33</f>
        <v>-0</v>
      </c>
      <c r="E12" s="17"/>
    </row>
    <row r="13" customFormat="false" ht="15" hidden="false" customHeight="false" outlineLevel="0" collapsed="false">
      <c r="B13" s="26" t="s">
        <v>213</v>
      </c>
      <c r="D13" s="37" t="n">
        <f aca="false">-'Income Statement'!D26</f>
        <v>-0</v>
      </c>
      <c r="E13" s="17"/>
    </row>
    <row r="14" customFormat="false" ht="15" hidden="false" customHeight="false" outlineLevel="0" collapsed="false">
      <c r="B14" s="26" t="s">
        <v>214</v>
      </c>
      <c r="D14" s="37" t="n">
        <f aca="false">-'Income Statement'!D27</f>
        <v>-0</v>
      </c>
      <c r="E14" s="17"/>
    </row>
    <row r="15" customFormat="false" ht="15" hidden="false" customHeight="false" outlineLevel="0" collapsed="false">
      <c r="B15" s="26" t="s">
        <v>215</v>
      </c>
      <c r="D15" s="37" t="n">
        <f aca="false">-'Income Statement'!D13</f>
        <v>-0</v>
      </c>
      <c r="E15" s="17"/>
    </row>
    <row r="16" customFormat="false" ht="15" hidden="false" customHeight="false" outlineLevel="0" collapsed="false">
      <c r="B16" s="26" t="s">
        <v>216</v>
      </c>
      <c r="D16" s="17"/>
      <c r="E16" s="17"/>
    </row>
    <row r="17" customFormat="false" ht="15" hidden="false" customHeight="false" outlineLevel="0" collapsed="false">
      <c r="B17" s="26" t="s">
        <v>217</v>
      </c>
      <c r="D17" s="17"/>
      <c r="E17" s="17"/>
    </row>
    <row r="18" customFormat="false" ht="15" hidden="false" customHeight="false" outlineLevel="0" collapsed="false">
      <c r="B18" s="28" t="s">
        <v>218</v>
      </c>
      <c r="D18" s="29" t="n">
        <f aca="false">SUM(D8:D17)</f>
        <v>0</v>
      </c>
      <c r="E18" s="29" t="n">
        <f aca="false">SUM(E8:E17)</f>
        <v>0</v>
      </c>
      <c r="F18" s="29" t="n">
        <f aca="false">D18-E18</f>
        <v>0</v>
      </c>
    </row>
    <row r="19" customFormat="false" ht="6" hidden="false" customHeight="true" outlineLevel="0" collapsed="false"/>
    <row r="20" customFormat="false" ht="15" hidden="false" customHeight="false" outlineLevel="0" collapsed="false">
      <c r="B20" s="25" t="s">
        <v>219</v>
      </c>
    </row>
    <row r="21" customFormat="false" ht="15" hidden="false" customHeight="false" outlineLevel="0" collapsed="false">
      <c r="B21" s="26" t="s">
        <v>220</v>
      </c>
      <c r="D21" s="37" t="n">
        <f aca="false">-('Balance Sheet'!D22-'Balance Sheet'!E22)</f>
        <v>-0</v>
      </c>
      <c r="E21" s="17"/>
    </row>
    <row r="22" customFormat="false" ht="15" hidden="false" customHeight="false" outlineLevel="0" collapsed="false">
      <c r="B22" s="26" t="s">
        <v>221</v>
      </c>
      <c r="D22" s="37" t="n">
        <f aca="false">-('Balance Sheet'!D26-'Balance Sheet'!E26)</f>
        <v>-0</v>
      </c>
      <c r="E22" s="17"/>
    </row>
    <row r="23" customFormat="false" ht="15" hidden="false" customHeight="false" outlineLevel="0" collapsed="false">
      <c r="B23" s="26" t="s">
        <v>222</v>
      </c>
      <c r="D23" s="17"/>
      <c r="E23" s="17"/>
    </row>
    <row r="24" customFormat="false" ht="15" hidden="false" customHeight="false" outlineLevel="0" collapsed="false">
      <c r="B24" s="26" t="s">
        <v>223</v>
      </c>
      <c r="D24" s="37" t="n">
        <f aca="false">'Balance Sheet'!D41-'Balance Sheet'!E41</f>
        <v>0</v>
      </c>
      <c r="E24" s="17"/>
    </row>
    <row r="25" customFormat="false" ht="15" hidden="false" customHeight="false" outlineLevel="0" collapsed="false">
      <c r="B25" s="26" t="s">
        <v>224</v>
      </c>
      <c r="D25" s="37" t="n">
        <f aca="false">'Balance Sheet'!D49-'Balance Sheet'!E49</f>
        <v>0</v>
      </c>
      <c r="E25" s="17"/>
    </row>
    <row r="26" customFormat="false" ht="15" hidden="false" customHeight="false" outlineLevel="0" collapsed="false">
      <c r="B26" s="28" t="s">
        <v>225</v>
      </c>
      <c r="D26" s="29" t="n">
        <f aca="false">D18+SUM(D21:D25)</f>
        <v>0</v>
      </c>
      <c r="E26" s="29" t="n">
        <f aca="false">E18+SUM(E21:E25)</f>
        <v>0</v>
      </c>
      <c r="F26" s="29" t="n">
        <f aca="false">D26-E26</f>
        <v>0</v>
      </c>
    </row>
    <row r="27" customFormat="false" ht="15" hidden="false" customHeight="false" outlineLevel="0" collapsed="false">
      <c r="B27" s="26" t="s">
        <v>226</v>
      </c>
      <c r="D27" s="17"/>
      <c r="E27" s="17"/>
    </row>
    <row r="28" customFormat="false" ht="15" hidden="false" customHeight="false" outlineLevel="0" collapsed="false">
      <c r="B28" s="33" t="s">
        <v>227</v>
      </c>
      <c r="D28" s="29" t="n">
        <f aca="false">D26+D27</f>
        <v>0</v>
      </c>
      <c r="E28" s="29" t="n">
        <f aca="false">E26+E27</f>
        <v>0</v>
      </c>
      <c r="F28" s="29" t="n">
        <f aca="false">D28-E28</f>
        <v>0</v>
      </c>
    </row>
    <row r="29" customFormat="false" ht="12" hidden="false" customHeight="true" outlineLevel="0" collapsed="false"/>
    <row r="30" customFormat="false" ht="15" hidden="false" customHeight="false" outlineLevel="0" collapsed="false">
      <c r="B30" s="23" t="s">
        <v>228</v>
      </c>
      <c r="C30" s="24"/>
      <c r="D30" s="24"/>
      <c r="E30" s="24"/>
      <c r="F30" s="24"/>
    </row>
    <row r="31" customFormat="false" ht="15" hidden="false" customHeight="false" outlineLevel="0" collapsed="false">
      <c r="B31" s="26" t="s">
        <v>229</v>
      </c>
      <c r="D31" s="17"/>
      <c r="E31" s="17"/>
    </row>
    <row r="32" customFormat="false" ht="15" hidden="false" customHeight="false" outlineLevel="0" collapsed="false">
      <c r="B32" s="26" t="s">
        <v>230</v>
      </c>
      <c r="D32" s="17"/>
      <c r="E32" s="17"/>
    </row>
    <row r="33" customFormat="false" ht="15" hidden="false" customHeight="false" outlineLevel="0" collapsed="false">
      <c r="B33" s="26" t="s">
        <v>231</v>
      </c>
      <c r="D33" s="17"/>
      <c r="E33" s="17"/>
    </row>
    <row r="34" customFormat="false" ht="15" hidden="false" customHeight="false" outlineLevel="0" collapsed="false">
      <c r="B34" s="26" t="s">
        <v>232</v>
      </c>
      <c r="D34" s="17"/>
      <c r="E34" s="17"/>
    </row>
    <row r="35" customFormat="false" ht="15" hidden="false" customHeight="false" outlineLevel="0" collapsed="false">
      <c r="B35" s="26" t="s">
        <v>233</v>
      </c>
      <c r="D35" s="17"/>
      <c r="E35" s="17"/>
    </row>
    <row r="36" customFormat="false" ht="15" hidden="false" customHeight="false" outlineLevel="0" collapsed="false">
      <c r="B36" s="26" t="s">
        <v>234</v>
      </c>
      <c r="D36" s="17"/>
      <c r="E36" s="17"/>
    </row>
    <row r="37" customFormat="false" ht="15" hidden="false" customHeight="false" outlineLevel="0" collapsed="false">
      <c r="B37" s="33" t="s">
        <v>235</v>
      </c>
      <c r="D37" s="29" t="n">
        <f aca="false">SUM(D31:D36)</f>
        <v>0</v>
      </c>
      <c r="E37" s="29" t="n">
        <f aca="false">SUM(E31:E36)</f>
        <v>0</v>
      </c>
      <c r="F37" s="29" t="n">
        <f aca="false">D37-E37</f>
        <v>0</v>
      </c>
    </row>
    <row r="38" customFormat="false" ht="12" hidden="false" customHeight="true" outlineLevel="0" collapsed="false"/>
    <row r="39" customFormat="false" ht="15" hidden="false" customHeight="false" outlineLevel="0" collapsed="false">
      <c r="B39" s="23" t="s">
        <v>236</v>
      </c>
      <c r="C39" s="24"/>
      <c r="D39" s="24"/>
      <c r="E39" s="24"/>
      <c r="F39" s="24"/>
    </row>
    <row r="40" customFormat="false" ht="15" hidden="false" customHeight="false" outlineLevel="0" collapsed="false">
      <c r="B40" s="26" t="s">
        <v>237</v>
      </c>
      <c r="D40" s="17"/>
      <c r="E40" s="17"/>
    </row>
    <row r="41" customFormat="false" ht="15" hidden="false" customHeight="false" outlineLevel="0" collapsed="false">
      <c r="B41" s="26" t="s">
        <v>238</v>
      </c>
      <c r="D41" s="17"/>
      <c r="E41" s="17"/>
    </row>
    <row r="42" customFormat="false" ht="15" hidden="false" customHeight="false" outlineLevel="0" collapsed="false">
      <c r="B42" s="26" t="s">
        <v>239</v>
      </c>
      <c r="D42" s="17"/>
      <c r="E42" s="17"/>
    </row>
    <row r="43" customFormat="false" ht="15" hidden="false" customHeight="false" outlineLevel="0" collapsed="false">
      <c r="B43" s="26" t="s">
        <v>240</v>
      </c>
      <c r="D43" s="17"/>
      <c r="E43" s="17"/>
    </row>
    <row r="44" customFormat="false" ht="15" hidden="false" customHeight="false" outlineLevel="0" collapsed="false">
      <c r="B44" s="26" t="s">
        <v>241</v>
      </c>
      <c r="D44" s="17"/>
      <c r="E44" s="17"/>
    </row>
    <row r="45" customFormat="false" ht="15" hidden="false" customHeight="false" outlineLevel="0" collapsed="false">
      <c r="B45" s="26" t="s">
        <v>242</v>
      </c>
      <c r="D45" s="17"/>
      <c r="E45" s="17"/>
    </row>
    <row r="46" customFormat="false" ht="15" hidden="false" customHeight="false" outlineLevel="0" collapsed="false">
      <c r="B46" s="33" t="s">
        <v>243</v>
      </c>
      <c r="D46" s="29" t="n">
        <f aca="false">SUM(D40:D45)</f>
        <v>0</v>
      </c>
      <c r="E46" s="29" t="n">
        <f aca="false">SUM(E40:E45)</f>
        <v>0</v>
      </c>
      <c r="F46" s="29" t="n">
        <f aca="false">D46-E46</f>
        <v>0</v>
      </c>
    </row>
    <row r="47" customFormat="false" ht="12" hidden="false" customHeight="true" outlineLevel="0" collapsed="false"/>
    <row r="48" customFormat="false" ht="15" hidden="false" customHeight="false" outlineLevel="0" collapsed="false">
      <c r="B48" s="33" t="s">
        <v>244</v>
      </c>
      <c r="D48" s="29" t="n">
        <f aca="false">D28+D37+D46</f>
        <v>0</v>
      </c>
      <c r="E48" s="29" t="n">
        <f aca="false">E28+E37+E46</f>
        <v>0</v>
      </c>
      <c r="F48" s="29" t="n">
        <f aca="false">D48-E48</f>
        <v>0</v>
      </c>
    </row>
    <row r="49" customFormat="false" ht="15" hidden="false" customHeight="false" outlineLevel="0" collapsed="false">
      <c r="B49" s="26" t="s">
        <v>245</v>
      </c>
      <c r="D49" s="37" t="n">
        <f aca="false">'Balance Sheet'!E13</f>
        <v>0</v>
      </c>
      <c r="E49" s="17"/>
    </row>
    <row r="50" customFormat="false" ht="15" hidden="false" customHeight="false" outlineLevel="0" collapsed="false">
      <c r="B50" s="30" t="s">
        <v>246</v>
      </c>
      <c r="C50" s="31"/>
      <c r="D50" s="32" t="n">
        <f aca="false">D48+D49</f>
        <v>0</v>
      </c>
      <c r="E50" s="32" t="n">
        <f aca="false">E48+E49</f>
        <v>0</v>
      </c>
      <c r="F50" s="32" t="n">
        <f aca="false">D50-E50</f>
        <v>0</v>
      </c>
    </row>
    <row r="51" customFormat="false" ht="6" hidden="false" customHeight="true" outlineLevel="0" collapsed="false"/>
    <row r="52" customFormat="false" ht="15" hidden="false" customHeight="false" outlineLevel="0" collapsed="false">
      <c r="B52" s="28" t="s">
        <v>247</v>
      </c>
      <c r="D52" s="34" t="str">
        <f aca="false">IF(ROUND(D50-'Balance Sheet'!D13,0)=0,"OK","OUT BY "&amp;TEXT(D50-'Balance Sheet'!D13,"#,##0"))</f>
        <v>OK</v>
      </c>
      <c r="E52" s="34" t="str">
        <f aca="false">IF(N(E28)=0,"Prior period column not completed",IF(ROUND(E50-'Balance Sheet'!E13,0)=0,"OK","OUT BY "&amp;TEXT(E50-'Balance Sheet'!E13,"#,##0")))</f>
        <v>Prior period column not completed</v>
      </c>
    </row>
    <row r="53" customFormat="false" ht="6" hidden="false" customHeight="true" outlineLevel="0" collapsed="false"/>
    <row r="54" customFormat="false" ht="22.35" hidden="false" customHeight="false" outlineLevel="0" collapsed="false">
      <c r="B54" s="35" t="s">
        <v>248</v>
      </c>
    </row>
    <row r="55" customFormat="false" ht="32.8" hidden="false" customHeight="false" outlineLevel="0" collapsed="false">
      <c r="B55" s="35"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8"/>
    <col collapsed="false" customWidth="true" hidden="false" outlineLevel="0" max="8" min="3" style="0" width="16"/>
    <col collapsed="false" customWidth="true" hidden="false" outlineLevel="0" max="9" min="9" style="0" width="18"/>
  </cols>
  <sheetData>
    <row r="1" customFormat="false" ht="15" hidden="false" customHeight="false" outlineLevel="0" collapsed="false">
      <c r="B1" s="18" t="str">
        <f aca="false">Setup!$C$6</f>
        <v>Akwaaba Microfinance Company Limited</v>
      </c>
    </row>
    <row r="2" customFormat="false" ht="15" hidden="false" customHeight="false" outlineLevel="0" collapsed="false">
      <c r="B2" s="19" t="s">
        <v>250</v>
      </c>
    </row>
    <row r="3" customFormat="false" ht="15" hidden="false" customHeight="false" outlineLevel="0" collapsed="false">
      <c r="B3" s="20" t="str">
        <f aca="false">"For the period ended "&amp;Setup!$C$10</f>
        <v>For the period ended 31 December 2025</v>
      </c>
    </row>
    <row r="4" customFormat="false" ht="15" hidden="false" customHeight="false" outlineLevel="0" collapsed="false">
      <c r="B4" s="3" t="s">
        <v>104</v>
      </c>
    </row>
    <row r="7" customFormat="false" ht="15" hidden="false" customHeight="false" outlineLevel="0" collapsed="false">
      <c r="B7" s="23" t="str">
        <f aca="false">"Period ended "&amp;Setup!$C$10</f>
        <v>Period ended 31 December 2025</v>
      </c>
      <c r="C7" s="24"/>
      <c r="D7" s="24"/>
      <c r="E7" s="24"/>
      <c r="F7" s="24"/>
      <c r="G7" s="24"/>
      <c r="H7" s="24"/>
      <c r="I7" s="24"/>
    </row>
    <row r="8" customFormat="false" ht="30" hidden="false" customHeight="true" outlineLevel="0" collapsed="false">
      <c r="B8" s="21"/>
      <c r="C8" s="22" t="s">
        <v>251</v>
      </c>
      <c r="D8" s="22" t="s">
        <v>252</v>
      </c>
      <c r="E8" s="22" t="s">
        <v>253</v>
      </c>
      <c r="F8" s="22" t="s">
        <v>254</v>
      </c>
      <c r="G8" s="22" t="s">
        <v>255</v>
      </c>
      <c r="H8" s="22" t="s">
        <v>256</v>
      </c>
      <c r="I8" s="22" t="s">
        <v>257</v>
      </c>
    </row>
    <row r="9" customFormat="false" ht="15" hidden="false" customHeight="false" outlineLevel="0" collapsed="false">
      <c r="B9" s="38" t="s">
        <v>258</v>
      </c>
      <c r="C9" s="17"/>
      <c r="D9" s="17"/>
      <c r="E9" s="17"/>
      <c r="F9" s="17"/>
      <c r="G9" s="17"/>
      <c r="H9" s="17"/>
      <c r="I9" s="27" t="n">
        <f aca="false">SUM(C9:H9)</f>
        <v>0</v>
      </c>
    </row>
    <row r="10" customFormat="false" ht="15" hidden="false" customHeight="false" outlineLevel="0" collapsed="false">
      <c r="B10" s="38" t="s">
        <v>259</v>
      </c>
      <c r="C10" s="17"/>
      <c r="D10" s="17"/>
      <c r="E10" s="17"/>
      <c r="F10" s="17"/>
      <c r="G10" s="17"/>
      <c r="H10" s="17"/>
      <c r="I10" s="27" t="n">
        <f aca="false">SUM(C10:H10)</f>
        <v>0</v>
      </c>
    </row>
    <row r="11" customFormat="false" ht="15" hidden="false" customHeight="false" outlineLevel="0" collapsed="false">
      <c r="B11" s="38" t="s">
        <v>197</v>
      </c>
      <c r="C11" s="17"/>
      <c r="D11" s="17"/>
      <c r="E11" s="17"/>
      <c r="F11" s="17"/>
      <c r="G11" s="17"/>
      <c r="H11" s="17"/>
      <c r="I11" s="27" t="n">
        <f aca="false">SUM(C11:H11)</f>
        <v>0</v>
      </c>
    </row>
    <row r="12" customFormat="false" ht="15" hidden="false" customHeight="false" outlineLevel="0" collapsed="false">
      <c r="B12" s="38" t="s">
        <v>260</v>
      </c>
      <c r="C12" s="17"/>
      <c r="D12" s="17"/>
      <c r="E12" s="17"/>
      <c r="F12" s="17"/>
      <c r="G12" s="17"/>
      <c r="H12" s="17"/>
      <c r="I12" s="27" t="n">
        <f aca="false">SUM(C12:H12)</f>
        <v>0</v>
      </c>
    </row>
    <row r="13" customFormat="false" ht="15" hidden="false" customHeight="false" outlineLevel="0" collapsed="false">
      <c r="B13" s="38" t="s">
        <v>201</v>
      </c>
      <c r="C13" s="17"/>
      <c r="D13" s="17"/>
      <c r="E13" s="17"/>
      <c r="F13" s="17"/>
      <c r="G13" s="17"/>
      <c r="H13" s="17"/>
      <c r="I13" s="27" t="n">
        <f aca="false">SUM(C13:H13)</f>
        <v>0</v>
      </c>
    </row>
    <row r="14" customFormat="false" ht="15" hidden="false" customHeight="false" outlineLevel="0" collapsed="false">
      <c r="B14" s="38" t="s">
        <v>261</v>
      </c>
      <c r="C14" s="17"/>
      <c r="D14" s="17"/>
      <c r="E14" s="17"/>
      <c r="F14" s="17"/>
      <c r="G14" s="17"/>
      <c r="H14" s="17"/>
      <c r="I14" s="27" t="n">
        <f aca="false">SUM(C14:H14)</f>
        <v>0</v>
      </c>
    </row>
    <row r="15" customFormat="false" ht="15" hidden="false" customHeight="false" outlineLevel="0" collapsed="false">
      <c r="B15" s="38" t="s">
        <v>262</v>
      </c>
      <c r="C15" s="17"/>
      <c r="D15" s="17"/>
      <c r="E15" s="17"/>
      <c r="F15" s="17"/>
      <c r="G15" s="17"/>
      <c r="H15" s="17"/>
      <c r="I15" s="27" t="n">
        <f aca="false">SUM(C15:H15)</f>
        <v>0</v>
      </c>
    </row>
    <row r="16" customFormat="false" ht="15" hidden="false" customHeight="false" outlineLevel="0" collapsed="false">
      <c r="B16" s="38" t="s">
        <v>263</v>
      </c>
      <c r="C16" s="17"/>
      <c r="D16" s="17"/>
      <c r="E16" s="17"/>
      <c r="F16" s="17"/>
      <c r="G16" s="17"/>
      <c r="H16" s="17"/>
      <c r="I16" s="27" t="n">
        <f aca="false">SUM(C16:H16)</f>
        <v>0</v>
      </c>
    </row>
    <row r="17" customFormat="false" ht="15" hidden="false" customHeight="false" outlineLevel="0" collapsed="false">
      <c r="B17" s="30" t="s">
        <v>264</v>
      </c>
      <c r="C17" s="32" t="n">
        <f aca="false">SUM(C9:C16)</f>
        <v>0</v>
      </c>
      <c r="D17" s="32" t="n">
        <f aca="false">SUM(D9:D16)</f>
        <v>0</v>
      </c>
      <c r="E17" s="32" t="n">
        <f aca="false">SUM(E9:E16)</f>
        <v>0</v>
      </c>
      <c r="F17" s="32" t="n">
        <f aca="false">SUM(F9:F16)</f>
        <v>0</v>
      </c>
      <c r="G17" s="32" t="n">
        <f aca="false">SUM(G9:G16)</f>
        <v>0</v>
      </c>
      <c r="H17" s="32" t="n">
        <f aca="false">SUM(H9:H16)</f>
        <v>0</v>
      </c>
      <c r="I17" s="32" t="n">
        <f aca="false">SUM(I9:I16)</f>
        <v>0</v>
      </c>
    </row>
    <row r="20" customFormat="false" ht="15" hidden="false" customHeight="false" outlineLevel="0" collapsed="false">
      <c r="B20" s="23" t="str">
        <f aca="false">"Period ended "&amp;Setup!$C$11</f>
        <v>Period ended 31 December 2024</v>
      </c>
      <c r="C20" s="24"/>
      <c r="D20" s="24"/>
      <c r="E20" s="24"/>
      <c r="F20" s="24"/>
      <c r="G20" s="24"/>
      <c r="H20" s="24"/>
      <c r="I20" s="24"/>
    </row>
    <row r="21" customFormat="false" ht="30" hidden="false" customHeight="true" outlineLevel="0" collapsed="false">
      <c r="B21" s="21"/>
      <c r="C21" s="22" t="s">
        <v>251</v>
      </c>
      <c r="D21" s="22" t="s">
        <v>252</v>
      </c>
      <c r="E21" s="22" t="s">
        <v>253</v>
      </c>
      <c r="F21" s="22" t="s">
        <v>254</v>
      </c>
      <c r="G21" s="22" t="s">
        <v>255</v>
      </c>
      <c r="H21" s="22" t="s">
        <v>256</v>
      </c>
      <c r="I21" s="22" t="s">
        <v>257</v>
      </c>
    </row>
    <row r="22" customFormat="false" ht="15" hidden="false" customHeight="false" outlineLevel="0" collapsed="false">
      <c r="B22" s="38" t="s">
        <v>258</v>
      </c>
      <c r="C22" s="17"/>
      <c r="D22" s="17"/>
      <c r="E22" s="17"/>
      <c r="F22" s="17"/>
      <c r="G22" s="17"/>
      <c r="H22" s="17"/>
      <c r="I22" s="27" t="n">
        <f aca="false">SUM(C22:H22)</f>
        <v>0</v>
      </c>
    </row>
    <row r="23" customFormat="false" ht="15" hidden="false" customHeight="false" outlineLevel="0" collapsed="false">
      <c r="B23" s="38" t="s">
        <v>259</v>
      </c>
      <c r="C23" s="17"/>
      <c r="D23" s="17"/>
      <c r="E23" s="17"/>
      <c r="F23" s="17"/>
      <c r="G23" s="17"/>
      <c r="H23" s="17"/>
      <c r="I23" s="27" t="n">
        <f aca="false">SUM(C23:H23)</f>
        <v>0</v>
      </c>
    </row>
    <row r="24" customFormat="false" ht="15" hidden="false" customHeight="false" outlineLevel="0" collapsed="false">
      <c r="B24" s="38" t="s">
        <v>197</v>
      </c>
      <c r="C24" s="17"/>
      <c r="D24" s="17"/>
      <c r="E24" s="17"/>
      <c r="F24" s="17"/>
      <c r="G24" s="17"/>
      <c r="H24" s="17"/>
      <c r="I24" s="27" t="n">
        <f aca="false">SUM(C24:H24)</f>
        <v>0</v>
      </c>
    </row>
    <row r="25" customFormat="false" ht="15" hidden="false" customHeight="false" outlineLevel="0" collapsed="false">
      <c r="B25" s="38" t="s">
        <v>260</v>
      </c>
      <c r="C25" s="17"/>
      <c r="D25" s="17"/>
      <c r="E25" s="17"/>
      <c r="F25" s="17"/>
      <c r="G25" s="17"/>
      <c r="H25" s="17"/>
      <c r="I25" s="27" t="n">
        <f aca="false">SUM(C25:H25)</f>
        <v>0</v>
      </c>
    </row>
    <row r="26" customFormat="false" ht="15" hidden="false" customHeight="false" outlineLevel="0" collapsed="false">
      <c r="B26" s="38" t="s">
        <v>201</v>
      </c>
      <c r="C26" s="17"/>
      <c r="D26" s="17"/>
      <c r="E26" s="17"/>
      <c r="F26" s="17"/>
      <c r="G26" s="17"/>
      <c r="H26" s="17"/>
      <c r="I26" s="27" t="n">
        <f aca="false">SUM(C26:H26)</f>
        <v>0</v>
      </c>
    </row>
    <row r="27" customFormat="false" ht="15" hidden="false" customHeight="false" outlineLevel="0" collapsed="false">
      <c r="B27" s="38" t="s">
        <v>261</v>
      </c>
      <c r="C27" s="17"/>
      <c r="D27" s="17"/>
      <c r="E27" s="17"/>
      <c r="F27" s="17"/>
      <c r="G27" s="17"/>
      <c r="H27" s="17"/>
      <c r="I27" s="27" t="n">
        <f aca="false">SUM(C27:H27)</f>
        <v>0</v>
      </c>
    </row>
    <row r="28" customFormat="false" ht="15" hidden="false" customHeight="false" outlineLevel="0" collapsed="false">
      <c r="B28" s="38" t="s">
        <v>262</v>
      </c>
      <c r="C28" s="17"/>
      <c r="D28" s="17"/>
      <c r="E28" s="17"/>
      <c r="F28" s="17"/>
      <c r="G28" s="17"/>
      <c r="H28" s="17"/>
      <c r="I28" s="27" t="n">
        <f aca="false">SUM(C28:H28)</f>
        <v>0</v>
      </c>
    </row>
    <row r="29" customFormat="false" ht="15" hidden="false" customHeight="false" outlineLevel="0" collapsed="false">
      <c r="B29" s="38" t="s">
        <v>263</v>
      </c>
      <c r="C29" s="17"/>
      <c r="D29" s="17"/>
      <c r="E29" s="17"/>
      <c r="F29" s="17"/>
      <c r="G29" s="17"/>
      <c r="H29" s="17"/>
      <c r="I29" s="27" t="n">
        <f aca="false">SUM(C29:H29)</f>
        <v>0</v>
      </c>
    </row>
    <row r="30" customFormat="false" ht="15" hidden="false" customHeight="false" outlineLevel="0" collapsed="false">
      <c r="B30" s="30" t="s">
        <v>264</v>
      </c>
      <c r="C30" s="32" t="n">
        <f aca="false">SUM(C22:C29)</f>
        <v>0</v>
      </c>
      <c r="D30" s="32" t="n">
        <f aca="false">SUM(D22:D29)</f>
        <v>0</v>
      </c>
      <c r="E30" s="32" t="n">
        <f aca="false">SUM(E22:E29)</f>
        <v>0</v>
      </c>
      <c r="F30" s="32" t="n">
        <f aca="false">SUM(F22:F29)</f>
        <v>0</v>
      </c>
      <c r="G30" s="32" t="n">
        <f aca="false">SUM(G22:G29)</f>
        <v>0</v>
      </c>
      <c r="H30" s="32" t="n">
        <f aca="false">SUM(H22:H29)</f>
        <v>0</v>
      </c>
      <c r="I30" s="32" t="n">
        <f aca="false">SUM(I22:I29)</f>
        <v>0</v>
      </c>
    </row>
    <row r="32" customFormat="false" ht="15" hidden="false" customHeight="false" outlineLevel="0" collapsed="false">
      <c r="B32" s="33" t="s">
        <v>265</v>
      </c>
      <c r="C32" s="39" t="str">
        <f aca="false">IF(ROUND(I17-'Balance Sheet'!D62,0)=0,"CURRENT PERIOD: OK","CURRENT PERIOD OUT BY "&amp;TEXT(I17-'Balance Sheet'!D62,"#,##0"))</f>
        <v>CURRENT PERIOD: OK</v>
      </c>
      <c r="E32" s="39" t="str">
        <f aca="false">IF(ROUND(I30-'Balance Sheet'!E62,0)=0,"PRIOR PERIOD: OK","PRIOR PERIOD OUT BY "&amp;TEXT(I30-'Balance Sheet'!E62,"#,##0"))</f>
        <v>PRIOR PERIOD: OK</v>
      </c>
    </row>
    <row r="34" customFormat="false" ht="15" hidden="false" customHeight="false" outlineLevel="0" collapsed="false">
      <c r="B34" s="3"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16"/>
    <col collapsed="false" customWidth="true" hidden="false" outlineLevel="0" max="8" min="7" style="0" width="20"/>
    <col collapsed="false" customWidth="true" hidden="false" outlineLevel="0" max="9" min="9" style="0" width="44"/>
  </cols>
  <sheetData>
    <row r="1" customFormat="false" ht="15" hidden="false" customHeight="false" outlineLevel="0" collapsed="false">
      <c r="B1" s="18" t="str">
        <f aca="false">Setup!$C$6</f>
        <v>Akwaaba Microfinance Company Limited</v>
      </c>
    </row>
    <row r="2" customFormat="false" ht="15" hidden="false" customHeight="false" outlineLevel="0" collapsed="false">
      <c r="B2" s="19" t="s">
        <v>267</v>
      </c>
    </row>
    <row r="3" customFormat="false" ht="15" hidden="false" customHeight="false" outlineLevel="0" collapsed="false">
      <c r="B3" s="20" t="str">
        <f aca="false">"As at "&amp;Setup!$C$10</f>
        <v>As at 31 December 2025</v>
      </c>
    </row>
    <row r="4" customFormat="false" ht="15" hidden="false" customHeight="false" outlineLevel="0" collapsed="false">
      <c r="B4" s="3" t="s">
        <v>104</v>
      </c>
    </row>
    <row r="6" customFormat="false" ht="30" hidden="false" customHeight="true" outlineLevel="0" collapsed="false">
      <c r="B6" s="21" t="s">
        <v>268</v>
      </c>
      <c r="C6" s="22" t="s">
        <v>269</v>
      </c>
      <c r="D6" s="22" t="s">
        <v>270</v>
      </c>
      <c r="E6" s="22" t="s">
        <v>271</v>
      </c>
      <c r="F6" s="22" t="s">
        <v>272</v>
      </c>
      <c r="G6" s="22" t="s">
        <v>273</v>
      </c>
      <c r="H6" s="22" t="s">
        <v>274</v>
      </c>
      <c r="I6" s="22" t="s">
        <v>275</v>
      </c>
    </row>
    <row r="7" customFormat="false" ht="15" hidden="false" customHeight="true" outlineLevel="0" collapsed="false">
      <c r="B7" s="38" t="s">
        <v>276</v>
      </c>
      <c r="C7" s="40" t="s">
        <v>277</v>
      </c>
      <c r="D7" s="17"/>
      <c r="E7" s="41" t="str">
        <f aca="false">IFERROR(D7/$D$12,"")</f>
        <v/>
      </c>
      <c r="F7" s="42" t="n">
        <v>0.01</v>
      </c>
      <c r="G7" s="27" t="n">
        <f aca="false">D7*F7</f>
        <v>0</v>
      </c>
      <c r="H7" s="17"/>
      <c r="I7" s="43" t="s">
        <v>278</v>
      </c>
    </row>
    <row r="8" customFormat="false" ht="15" hidden="false" customHeight="false" outlineLevel="0" collapsed="false">
      <c r="B8" s="38" t="s">
        <v>279</v>
      </c>
      <c r="C8" s="40" t="s">
        <v>280</v>
      </c>
      <c r="D8" s="17"/>
      <c r="E8" s="41" t="str">
        <f aca="false">IFERROR(D8/$D$12,"")</f>
        <v/>
      </c>
      <c r="F8" s="42" t="n">
        <v>0.1</v>
      </c>
      <c r="G8" s="27" t="n">
        <f aca="false">D8*F8</f>
        <v>0</v>
      </c>
      <c r="H8" s="17"/>
      <c r="I8" s="43"/>
    </row>
    <row r="9" customFormat="false" ht="15" hidden="false" customHeight="false" outlineLevel="0" collapsed="false">
      <c r="B9" s="38" t="s">
        <v>281</v>
      </c>
      <c r="C9" s="40" t="s">
        <v>282</v>
      </c>
      <c r="D9" s="17"/>
      <c r="E9" s="41" t="str">
        <f aca="false">IFERROR(D9/$D$12,"")</f>
        <v/>
      </c>
      <c r="F9" s="42" t="n">
        <v>0.25</v>
      </c>
      <c r="G9" s="27" t="n">
        <f aca="false">D9*F9</f>
        <v>0</v>
      </c>
      <c r="H9" s="17"/>
      <c r="I9" s="43"/>
    </row>
    <row r="10" customFormat="false" ht="15" hidden="false" customHeight="false" outlineLevel="0" collapsed="false">
      <c r="B10" s="38" t="s">
        <v>283</v>
      </c>
      <c r="C10" s="40" t="s">
        <v>284</v>
      </c>
      <c r="D10" s="17"/>
      <c r="E10" s="41" t="str">
        <f aca="false">IFERROR(D10/$D$12,"")</f>
        <v/>
      </c>
      <c r="F10" s="42" t="n">
        <v>0.5</v>
      </c>
      <c r="G10" s="27" t="n">
        <f aca="false">D10*F10</f>
        <v>0</v>
      </c>
      <c r="H10" s="17"/>
      <c r="I10" s="43"/>
    </row>
    <row r="11" customFormat="false" ht="15" hidden="false" customHeight="false" outlineLevel="0" collapsed="false">
      <c r="B11" s="38" t="s">
        <v>285</v>
      </c>
      <c r="C11" s="40" t="s">
        <v>286</v>
      </c>
      <c r="D11" s="17"/>
      <c r="E11" s="41" t="str">
        <f aca="false">IFERROR(D11/$D$12,"")</f>
        <v/>
      </c>
      <c r="F11" s="42" t="n">
        <v>1</v>
      </c>
      <c r="G11" s="27" t="n">
        <f aca="false">D11*F11</f>
        <v>0</v>
      </c>
      <c r="H11" s="17"/>
      <c r="I11" s="43"/>
    </row>
    <row r="12" customFormat="false" ht="15" hidden="false" customHeight="false" outlineLevel="0" collapsed="false">
      <c r="B12" s="30" t="s">
        <v>287</v>
      </c>
      <c r="D12" s="32" t="n">
        <f aca="false">SUM(D7:D11)</f>
        <v>0</v>
      </c>
      <c r="E12" s="44" t="str">
        <f aca="false">IFERROR(D12/D12,"")</f>
        <v/>
      </c>
      <c r="G12" s="32" t="n">
        <f aca="false">SUM(G7:G11)</f>
        <v>0</v>
      </c>
      <c r="H12" s="32" t="n">
        <f aca="false">SUM(H7:H11)</f>
        <v>0</v>
      </c>
    </row>
    <row r="14" customFormat="false" ht="15" hidden="false" customHeight="false" outlineLevel="0" collapsed="false">
      <c r="B14" s="23" t="s">
        <v>288</v>
      </c>
      <c r="C14" s="24"/>
      <c r="D14" s="24"/>
      <c r="E14" s="24"/>
      <c r="F14" s="24"/>
      <c r="G14" s="24"/>
      <c r="H14" s="24"/>
    </row>
    <row r="15" customFormat="false" ht="15" hidden="false" customHeight="false" outlineLevel="0" collapsed="false">
      <c r="B15" s="38" t="s">
        <v>289</v>
      </c>
      <c r="D15" s="37" t="n">
        <f aca="false">G12</f>
        <v>0</v>
      </c>
    </row>
    <row r="16" customFormat="false" ht="15" hidden="false" customHeight="false" outlineLevel="0" collapsed="false">
      <c r="B16" s="38" t="s">
        <v>290</v>
      </c>
      <c r="D16" s="37" t="n">
        <f aca="false">-'Balance Sheet'!D23</f>
        <v>-0</v>
      </c>
    </row>
    <row r="17" customFormat="false" ht="15" hidden="false" customHeight="false" outlineLevel="0" collapsed="false">
      <c r="B17" s="33" t="s">
        <v>291</v>
      </c>
      <c r="D17" s="32" t="n">
        <f aca="false">MAX(0,D15-D16)</f>
        <v>0</v>
      </c>
    </row>
    <row r="18" customFormat="false" ht="15" hidden="false" customHeight="false" outlineLevel="0" collapsed="false">
      <c r="B18" s="38" t="s">
        <v>292</v>
      </c>
      <c r="D18" s="37" t="n">
        <f aca="false">'Balance Sheet'!D59</f>
        <v>0</v>
      </c>
    </row>
    <row r="19" customFormat="false" ht="15" hidden="false" customHeight="false" outlineLevel="0" collapsed="false">
      <c r="B19" s="28" t="s">
        <v>293</v>
      </c>
      <c r="D19" s="29" t="n">
        <f aca="false">D17-D18</f>
        <v>0</v>
      </c>
    </row>
    <row r="21" customFormat="false" ht="15" hidden="false" customHeight="false" outlineLevel="0" collapsed="false">
      <c r="B21" s="23" t="s">
        <v>294</v>
      </c>
      <c r="C21" s="24"/>
      <c r="D21" s="24"/>
      <c r="E21" s="24"/>
      <c r="F21" s="24"/>
      <c r="G21" s="24"/>
      <c r="H21" s="24"/>
    </row>
    <row r="22" customFormat="false" ht="15" hidden="false" customHeight="false" outlineLevel="0" collapsed="false">
      <c r="B22" s="38" t="s">
        <v>295</v>
      </c>
      <c r="D22" s="41" t="str">
        <f aca="false">IFERROR((D12-D7)/D12,"")</f>
        <v/>
      </c>
    </row>
    <row r="23" customFormat="false" ht="15" hidden="false" customHeight="false" outlineLevel="0" collapsed="false">
      <c r="B23" s="38" t="s">
        <v>296</v>
      </c>
      <c r="D23" s="41" t="str">
        <f aca="false">IFERROR(SUM(D9:D11)/D12,"")</f>
        <v/>
      </c>
    </row>
    <row r="24" customFormat="false" ht="15" hidden="false" customHeight="false" outlineLevel="0" collapsed="false">
      <c r="B24" s="38" t="s">
        <v>297</v>
      </c>
      <c r="D24" s="41" t="str">
        <f aca="false">IFERROR(-'Balance Sheet'!D23/SUM(D9:D11),"")</f>
        <v/>
      </c>
    </row>
    <row r="25" customFormat="false" ht="15" hidden="false" customHeight="false" outlineLevel="0" collapsed="false">
      <c r="B25" s="38" t="s">
        <v>298</v>
      </c>
      <c r="D25" s="41" t="str">
        <f aca="false">IFERROR('Balance Sheet'!D22/'Balance Sheet'!D33,"")</f>
        <v/>
      </c>
    </row>
    <row r="27" customFormat="false" ht="15" hidden="false" customHeight="false" outlineLevel="0" collapsed="false">
      <c r="B27" s="3" t="s">
        <v>299</v>
      </c>
      <c r="D27" s="34" t="str">
        <f aca="false">IF(ROUND(D12-'Balance Sheet'!D22,0)=0,"OK","OUT BY "&amp;TEXT(D12-'Balance Sheet'!D22,"#,##0"))</f>
        <v>OK</v>
      </c>
    </row>
  </sheetData>
  <mergeCells count="1">
    <mergeCell ref="I7: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1: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6"/>
    <col collapsed="false" customWidth="true" hidden="false" outlineLevel="0" max="5" min="3" style="0" width="18"/>
    <col collapsed="false" customWidth="true" hidden="false" outlineLevel="0" max="6" min="6" style="0" width="20"/>
    <col collapsed="false" customWidth="true" hidden="false" outlineLevel="0" max="7" min="7" style="0" width="52"/>
  </cols>
  <sheetData>
    <row r="1" customFormat="false" ht="15" hidden="false" customHeight="false" outlineLevel="0" collapsed="false">
      <c r="B1" s="18" t="str">
        <f aca="false">Setup!$C$6</f>
        <v>Akwaaba Microfinance Company Limited</v>
      </c>
    </row>
    <row r="2" customFormat="false" ht="15" hidden="false" customHeight="false" outlineLevel="0" collapsed="false">
      <c r="B2" s="19" t="s">
        <v>300</v>
      </c>
    </row>
    <row r="3" customFormat="false" ht="15" hidden="false" customHeight="false" outlineLevel="0" collapsed="false">
      <c r="B3" s="20" t="str">
        <f aca="false">"As at / for the period ended "&amp;Setup!$C$10</f>
        <v>As at / for the period ended 31 December 2025</v>
      </c>
    </row>
    <row r="4" customFormat="false" ht="15" hidden="false" customHeight="false" outlineLevel="0" collapsed="false">
      <c r="B4" s="3" t="s">
        <v>104</v>
      </c>
    </row>
    <row r="6" customFormat="false" ht="30" hidden="false" customHeight="true" outlineLevel="0" collapsed="false">
      <c r="B6" s="21" t="s">
        <v>301</v>
      </c>
      <c r="C6" s="22" t="s">
        <v>302</v>
      </c>
      <c r="D6" s="22" t="s">
        <v>303</v>
      </c>
      <c r="E6" s="22" t="s">
        <v>304</v>
      </c>
      <c r="F6" s="22" t="s">
        <v>305</v>
      </c>
      <c r="G6" s="22" t="s">
        <v>306</v>
      </c>
    </row>
    <row r="7" customFormat="false" ht="15" hidden="false" customHeight="false" outlineLevel="0" collapsed="false">
      <c r="B7" s="23" t="s">
        <v>307</v>
      </c>
      <c r="C7" s="24"/>
      <c r="D7" s="24"/>
      <c r="E7" s="24"/>
      <c r="F7" s="24"/>
      <c r="G7" s="24"/>
    </row>
    <row r="8" customFormat="false" ht="15" hidden="false" customHeight="false" outlineLevel="0" collapsed="false">
      <c r="B8" s="38" t="s">
        <v>149</v>
      </c>
      <c r="C8" s="27" t="n">
        <f aca="false">'Balance Sheet'!D56</f>
        <v>0</v>
      </c>
      <c r="D8" s="27" t="n">
        <f aca="false">'Balance Sheet'!E56</f>
        <v>0</v>
      </c>
      <c r="G8" s="16" t="s">
        <v>308</v>
      </c>
    </row>
    <row r="9" customFormat="false" ht="15" hidden="false" customHeight="false" outlineLevel="0" collapsed="false">
      <c r="B9" s="38" t="s">
        <v>309</v>
      </c>
      <c r="C9" s="27" t="n">
        <f aca="false">'Balance Sheet'!D62-'Balance Sheet'!D56</f>
        <v>0</v>
      </c>
      <c r="D9" s="27" t="n">
        <f aca="false">'Balance Sheet'!E62-'Balance Sheet'!E56</f>
        <v>0</v>
      </c>
      <c r="G9" s="16" t="s">
        <v>310</v>
      </c>
    </row>
    <row r="10" customFormat="false" ht="15" hidden="false" customHeight="false" outlineLevel="0" collapsed="false">
      <c r="B10" s="38" t="s">
        <v>311</v>
      </c>
      <c r="C10" s="27" t="n">
        <f aca="false">-'Balance Sheet'!D31</f>
        <v>-0</v>
      </c>
      <c r="D10" s="27" t="n">
        <f aca="false">-'Balance Sheet'!E31</f>
        <v>-0</v>
      </c>
      <c r="G10" s="16" t="s">
        <v>312</v>
      </c>
    </row>
    <row r="11" customFormat="false" ht="15" hidden="false" customHeight="false" outlineLevel="0" collapsed="false">
      <c r="B11" s="38" t="s">
        <v>313</v>
      </c>
      <c r="C11" s="27" t="n">
        <f aca="false">-'Balance Sheet'!D32</f>
        <v>-0</v>
      </c>
      <c r="D11" s="27" t="n">
        <f aca="false">-'Balance Sheet'!E32</f>
        <v>-0</v>
      </c>
      <c r="G11" s="16" t="s">
        <v>314</v>
      </c>
    </row>
    <row r="12" customFormat="false" ht="22.35" hidden="false" customHeight="false" outlineLevel="0" collapsed="false">
      <c r="B12" s="38" t="s">
        <v>315</v>
      </c>
      <c r="C12" s="17"/>
      <c r="D12" s="17"/>
      <c r="G12" s="16" t="s">
        <v>316</v>
      </c>
    </row>
    <row r="13" customFormat="false" ht="15" hidden="false" customHeight="false" outlineLevel="0" collapsed="false">
      <c r="B13" s="33" t="s">
        <v>317</v>
      </c>
      <c r="C13" s="29" t="n">
        <f aca="false">SUM(C8:C12)</f>
        <v>0</v>
      </c>
      <c r="D13" s="29" t="n">
        <f aca="false">SUM(D8:D12)</f>
        <v>0</v>
      </c>
    </row>
    <row r="14" customFormat="false" ht="22.35" hidden="false" customHeight="false" outlineLevel="0" collapsed="false">
      <c r="B14" s="38" t="s">
        <v>318</v>
      </c>
      <c r="C14" s="45"/>
      <c r="D14" s="45"/>
      <c r="G14" s="16" t="s">
        <v>319</v>
      </c>
    </row>
    <row r="15" customFormat="false" ht="15" hidden="false" customHeight="false" outlineLevel="0" collapsed="false">
      <c r="B15" s="28" t="s">
        <v>320</v>
      </c>
      <c r="C15" s="34" t="str">
        <f aca="false">IF(N(C14)=0,"",IF(C8&gt;=C14,"Compliant","SHORTFALL OF "&amp;TEXT(C14-C8,"#,##0")))</f>
        <v/>
      </c>
    </row>
    <row r="17" customFormat="false" ht="15" hidden="false" customHeight="false" outlineLevel="0" collapsed="false">
      <c r="B17" s="23" t="s">
        <v>321</v>
      </c>
      <c r="C17" s="24"/>
      <c r="D17" s="24"/>
      <c r="E17" s="24"/>
      <c r="F17" s="24"/>
      <c r="G17" s="24"/>
    </row>
    <row r="18" customFormat="false" ht="15" hidden="false" customHeight="false" outlineLevel="0" collapsed="false">
      <c r="B18" s="38" t="s">
        <v>322</v>
      </c>
      <c r="C18" s="17"/>
      <c r="D18" s="17"/>
      <c r="G18" s="16" t="s">
        <v>323</v>
      </c>
    </row>
    <row r="19" customFormat="false" ht="22.35" hidden="false" customHeight="false" outlineLevel="0" collapsed="false">
      <c r="B19" s="38" t="s">
        <v>324</v>
      </c>
      <c r="C19" s="41" t="str">
        <f aca="false">IFERROR(C13/C18,"")</f>
        <v/>
      </c>
      <c r="D19" s="41" t="str">
        <f aca="false">IFERROR(D13/D18,"")</f>
        <v/>
      </c>
      <c r="E19" s="42"/>
      <c r="F19" s="46" t="str">
        <f aca="false">IF(OR(N(C19)=0,N(E19)=0),"",IF(C19&gt;=E19,"Compliant","BREACH"))</f>
        <v/>
      </c>
      <c r="G19" s="16" t="s">
        <v>325</v>
      </c>
    </row>
    <row r="20" customFormat="false" ht="15" hidden="false" customHeight="false" outlineLevel="0" collapsed="false">
      <c r="B20" s="38" t="s">
        <v>326</v>
      </c>
      <c r="C20" s="41" t="str">
        <f aca="false">IFERROR('Balance Sheet'!D62/'Balance Sheet'!D33,"")</f>
        <v/>
      </c>
      <c r="D20" s="41" t="str">
        <f aca="false">IFERROR('Balance Sheet'!E62/'Balance Sheet'!E33,"")</f>
        <v/>
      </c>
      <c r="G20" s="16" t="s">
        <v>327</v>
      </c>
    </row>
    <row r="22" customFormat="false" ht="15" hidden="false" customHeight="false" outlineLevel="0" collapsed="false">
      <c r="B22" s="23" t="s">
        <v>328</v>
      </c>
      <c r="C22" s="24"/>
      <c r="D22" s="24"/>
      <c r="E22" s="24"/>
      <c r="F22" s="24"/>
      <c r="G22" s="24"/>
    </row>
    <row r="23" customFormat="false" ht="15" hidden="false" customHeight="false" outlineLevel="0" collapsed="false">
      <c r="B23" s="38" t="s">
        <v>329</v>
      </c>
      <c r="C23" s="27" t="n">
        <f aca="false">'Balance Sheet'!D13+'Balance Sheet'!D16</f>
        <v>0</v>
      </c>
      <c r="D23" s="27" t="n">
        <f aca="false">'Balance Sheet'!E13+'Balance Sheet'!E16</f>
        <v>0</v>
      </c>
      <c r="G23" s="16" t="s">
        <v>330</v>
      </c>
    </row>
    <row r="24" customFormat="false" ht="15" hidden="false" customHeight="false" outlineLevel="0" collapsed="false">
      <c r="B24" s="38" t="s">
        <v>137</v>
      </c>
      <c r="C24" s="27" t="n">
        <f aca="false">'Balance Sheet'!D41</f>
        <v>0</v>
      </c>
      <c r="D24" s="27" t="n">
        <f aca="false">'Balance Sheet'!E41</f>
        <v>0</v>
      </c>
      <c r="G24" s="16" t="s">
        <v>308</v>
      </c>
    </row>
    <row r="25" customFormat="false" ht="22.35" hidden="false" customHeight="false" outlineLevel="0" collapsed="false">
      <c r="B25" s="38" t="s">
        <v>331</v>
      </c>
      <c r="C25" s="41" t="str">
        <f aca="false">IFERROR(C23/C24,"")</f>
        <v/>
      </c>
      <c r="D25" s="41" t="str">
        <f aca="false">IFERROR(D23/D24,"")</f>
        <v/>
      </c>
      <c r="E25" s="42"/>
      <c r="F25" s="46" t="str">
        <f aca="false">IF(OR(N(C25)=0,N(E25)=0),"",IF(C25&gt;=E25,"Compliant","BREACH"))</f>
        <v/>
      </c>
      <c r="G25" s="16" t="s">
        <v>332</v>
      </c>
    </row>
    <row r="26" customFormat="false" ht="15" hidden="false" customHeight="false" outlineLevel="0" collapsed="false">
      <c r="B26" s="38" t="s">
        <v>333</v>
      </c>
      <c r="C26" s="42"/>
      <c r="D26" s="42"/>
      <c r="G26" s="16" t="s">
        <v>334</v>
      </c>
    </row>
    <row r="27" customFormat="false" ht="15" hidden="false" customHeight="false" outlineLevel="0" collapsed="false">
      <c r="B27" s="38" t="s">
        <v>335</v>
      </c>
      <c r="C27" s="27" t="n">
        <f aca="false">C24*C26</f>
        <v>0</v>
      </c>
      <c r="D27" s="27" t="n">
        <f aca="false">D24*D26</f>
        <v>0</v>
      </c>
      <c r="G27" s="16" t="s">
        <v>336</v>
      </c>
    </row>
    <row r="29" customFormat="false" ht="15" hidden="false" customHeight="false" outlineLevel="0" collapsed="false">
      <c r="B29" s="23" t="s">
        <v>337</v>
      </c>
      <c r="C29" s="24"/>
      <c r="D29" s="24"/>
      <c r="E29" s="24"/>
      <c r="F29" s="24"/>
      <c r="G29" s="24"/>
    </row>
    <row r="30" customFormat="false" ht="15" hidden="false" customHeight="false" outlineLevel="0" collapsed="false">
      <c r="B30" s="38" t="s">
        <v>338</v>
      </c>
      <c r="C30" s="42"/>
      <c r="D30" s="42"/>
      <c r="G30" s="16" t="s">
        <v>339</v>
      </c>
    </row>
    <row r="31" customFormat="false" ht="15" hidden="false" customHeight="false" outlineLevel="0" collapsed="false">
      <c r="B31" s="38" t="s">
        <v>340</v>
      </c>
      <c r="C31" s="27" t="n">
        <f aca="false">C13*C30</f>
        <v>0</v>
      </c>
      <c r="D31" s="27" t="n">
        <f aca="false">D13*D30</f>
        <v>0</v>
      </c>
      <c r="G31" s="16" t="s">
        <v>341</v>
      </c>
    </row>
    <row r="32" customFormat="false" ht="15" hidden="false" customHeight="false" outlineLevel="0" collapsed="false">
      <c r="B32" s="38" t="s">
        <v>342</v>
      </c>
      <c r="C32" s="17"/>
      <c r="D32" s="17"/>
      <c r="G32" s="16" t="s">
        <v>343</v>
      </c>
    </row>
    <row r="33" customFormat="false" ht="15" hidden="false" customHeight="false" outlineLevel="0" collapsed="false">
      <c r="B33" s="28" t="s">
        <v>344</v>
      </c>
      <c r="C33" s="34" t="str">
        <f aca="false">IF(N(C31)=0,"",IF(C32&lt;=C31,"Compliant","EXCESS OF "&amp;TEXT(C32-C31,"#,##0")))</f>
        <v/>
      </c>
    </row>
    <row r="34" customFormat="false" ht="22.35" hidden="false" customHeight="false" outlineLevel="0" collapsed="false">
      <c r="B34" s="38" t="s">
        <v>345</v>
      </c>
      <c r="C34" s="42"/>
      <c r="D34" s="42"/>
      <c r="G34" s="16" t="s">
        <v>346</v>
      </c>
    </row>
    <row r="35" customFormat="false" ht="15" hidden="false" customHeight="false" outlineLevel="0" collapsed="false">
      <c r="B35" s="38" t="s">
        <v>347</v>
      </c>
      <c r="C35" s="27" t="n">
        <f aca="false">C8*C34</f>
        <v>0</v>
      </c>
      <c r="D35" s="27" t="n">
        <f aca="false">D8*D34</f>
        <v>0</v>
      </c>
      <c r="G35" s="16" t="s">
        <v>348</v>
      </c>
    </row>
    <row r="36" customFormat="false" ht="15" hidden="false" customHeight="false" outlineLevel="0" collapsed="false">
      <c r="B36" s="38" t="s">
        <v>349</v>
      </c>
      <c r="C36" s="17"/>
      <c r="D36" s="17"/>
      <c r="G36" s="16" t="s">
        <v>350</v>
      </c>
    </row>
    <row r="38" customFormat="false" ht="15" hidden="false" customHeight="false" outlineLevel="0" collapsed="false">
      <c r="B38" s="23" t="s">
        <v>351</v>
      </c>
      <c r="C38" s="24"/>
      <c r="D38" s="24"/>
      <c r="E38" s="24"/>
      <c r="F38" s="24"/>
      <c r="G38" s="24"/>
    </row>
    <row r="39" customFormat="false" ht="15" hidden="false" customHeight="false" outlineLevel="0" collapsed="false">
      <c r="B39" s="38" t="s">
        <v>295</v>
      </c>
      <c r="C39" s="41" t="str">
        <f aca="false">IFERROR('Loan Classification'!D22,"")</f>
        <v/>
      </c>
      <c r="D39" s="47"/>
      <c r="G39" s="16" t="s">
        <v>352</v>
      </c>
    </row>
    <row r="41" customFormat="false" ht="15" hidden="false" customHeight="false" outlineLevel="0" collapsed="false">
      <c r="B41" s="23" t="s">
        <v>353</v>
      </c>
      <c r="C41" s="24"/>
      <c r="D41" s="24"/>
      <c r="E41" s="24"/>
      <c r="F41" s="24"/>
      <c r="G41" s="24"/>
    </row>
    <row r="42" customFormat="false" ht="15" hidden="false" customHeight="false" outlineLevel="0" collapsed="false">
      <c r="B42" s="38" t="s">
        <v>354</v>
      </c>
      <c r="C42" s="41" t="str">
        <f aca="false">IFERROR('Income Statement'!D44/AVERAGE('Balance Sheet'!D33,'Balance Sheet'!E33),"")</f>
        <v/>
      </c>
      <c r="D42" s="47"/>
      <c r="G42" s="16" t="s">
        <v>355</v>
      </c>
    </row>
    <row r="43" customFormat="false" ht="15" hidden="false" customHeight="false" outlineLevel="0" collapsed="false">
      <c r="B43" s="38" t="s">
        <v>356</v>
      </c>
      <c r="C43" s="41" t="str">
        <f aca="false">IFERROR('Income Statement'!D44/AVERAGE('Balance Sheet'!D62,'Balance Sheet'!E62),"")</f>
        <v/>
      </c>
      <c r="D43" s="47"/>
      <c r="G43" s="16" t="s">
        <v>357</v>
      </c>
    </row>
    <row r="44" customFormat="false" ht="15" hidden="false" customHeight="false" outlineLevel="0" collapsed="false">
      <c r="B44" s="38" t="s">
        <v>358</v>
      </c>
      <c r="C44" s="41" t="str">
        <f aca="false">IFERROR('Income Statement'!D8/AVERAGE('Balance Sheet'!D22,'Balance Sheet'!E22),"")</f>
        <v/>
      </c>
      <c r="D44" s="47"/>
      <c r="G44" s="16" t="s">
        <v>359</v>
      </c>
    </row>
    <row r="45" customFormat="false" ht="15" hidden="false" customHeight="false" outlineLevel="0" collapsed="false">
      <c r="B45" s="38" t="s">
        <v>360</v>
      </c>
      <c r="C45" s="41" t="str">
        <f aca="false">IFERROR(-'Income Statement'!D37/'Income Statement'!D23,"")</f>
        <v/>
      </c>
      <c r="D45" s="47"/>
      <c r="G45" s="16" t="s">
        <v>361</v>
      </c>
    </row>
    <row r="46" customFormat="false" ht="15" hidden="false" customHeight="false" outlineLevel="0" collapsed="false">
      <c r="B46" s="38" t="s">
        <v>362</v>
      </c>
      <c r="C46" s="41" t="str">
        <f aca="false">IFERROR(-'Income Statement'!D37/AVERAGE('Balance Sheet'!D22,'Balance Sheet'!E22),"")</f>
        <v/>
      </c>
      <c r="D46" s="47"/>
      <c r="G46" s="16" t="s">
        <v>363</v>
      </c>
    </row>
    <row r="47" customFormat="false" ht="22.35" hidden="false" customHeight="false" outlineLevel="0" collapsed="false">
      <c r="B47" s="38" t="s">
        <v>364</v>
      </c>
      <c r="C47" s="41" t="str">
        <f aca="false">IFERROR(('Income Statement'!D11+'Income Statement'!D18+'Income Statement'!D21+'Income Statement'!D22)/(-'Income Statement'!D14-'Income Statement'!D19-'Income Statement'!D26-'Income Statement'!D27-'Income Statement'!D37),"")</f>
        <v/>
      </c>
      <c r="D47" s="47"/>
      <c r="G47" s="16" t="s">
        <v>365</v>
      </c>
    </row>
    <row r="48" customFormat="false" ht="15" hidden="false" customHeight="false" outlineLevel="0" collapsed="false">
      <c r="B48" s="38" t="s">
        <v>366</v>
      </c>
      <c r="C48" s="41" t="str">
        <f aca="false">IFERROR('Income Statement'!D15/AVERAGE('Balance Sheet'!D33,'Balance Sheet'!E33),"")</f>
        <v/>
      </c>
      <c r="D48" s="47"/>
      <c r="G48" s="16" t="s">
        <v>367</v>
      </c>
    </row>
    <row r="50" customFormat="false" ht="32.8" hidden="false" customHeight="false" outlineLevel="0" collapsed="false">
      <c r="B50" s="48"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1:G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2"/>
    <col collapsed="false" customWidth="true" hidden="false" outlineLevel="0" max="4" min="3" style="0" width="18"/>
    <col collapsed="false" customWidth="true" hidden="false" outlineLevel="0" max="5" min="5" style="0" width="14"/>
    <col collapsed="false" customWidth="true" hidden="false" outlineLevel="0" max="6" min="6" style="0" width="18"/>
    <col collapsed="false" customWidth="true" hidden="false" outlineLevel="0" max="7" min="7" style="0" width="46"/>
  </cols>
  <sheetData>
    <row r="1" customFormat="false" ht="16.15" hidden="false" customHeight="false" outlineLevel="0" collapsed="false">
      <c r="B1" s="12" t="s">
        <v>369</v>
      </c>
    </row>
    <row r="2" customFormat="false" ht="25.5" hidden="false" customHeight="true" outlineLevel="0" collapsed="false">
      <c r="B2" s="49" t="s">
        <v>370</v>
      </c>
      <c r="C2" s="49"/>
      <c r="D2" s="49"/>
      <c r="E2" s="49"/>
      <c r="F2" s="49"/>
      <c r="G2" s="49"/>
    </row>
    <row r="3" customFormat="false" ht="15" hidden="false" customHeight="false" outlineLevel="0" collapsed="false">
      <c r="B3" s="49"/>
      <c r="C3" s="49"/>
      <c r="D3" s="49"/>
      <c r="E3" s="49"/>
      <c r="F3" s="49"/>
      <c r="G3" s="49"/>
    </row>
    <row r="6" customFormat="false" ht="15" hidden="false" customHeight="false" outlineLevel="0" collapsed="false">
      <c r="B6" s="23" t="s">
        <v>371</v>
      </c>
      <c r="C6" s="24"/>
      <c r="D6" s="24"/>
    </row>
    <row r="7" customFormat="false" ht="30" hidden="false" customHeight="true" outlineLevel="0" collapsed="false">
      <c r="B7" s="21"/>
      <c r="C7" s="22" t="s">
        <v>372</v>
      </c>
      <c r="D7" s="22" t="s">
        <v>373</v>
      </c>
    </row>
    <row r="8" customFormat="false" ht="15" hidden="false" customHeight="false" outlineLevel="0" collapsed="false">
      <c r="B8" s="26" t="s">
        <v>109</v>
      </c>
      <c r="C8" s="50" t="n">
        <v>200000</v>
      </c>
      <c r="D8" s="50" t="n">
        <v>150000</v>
      </c>
    </row>
    <row r="9" customFormat="false" ht="15" hidden="false" customHeight="false" outlineLevel="0" collapsed="false">
      <c r="B9" s="26" t="s">
        <v>374</v>
      </c>
      <c r="C9" s="50" t="n">
        <v>1600000</v>
      </c>
      <c r="D9" s="50" t="n">
        <v>1100000</v>
      </c>
    </row>
    <row r="10" customFormat="false" ht="15" hidden="false" customHeight="false" outlineLevel="0" collapsed="false">
      <c r="B10" s="26" t="s">
        <v>375</v>
      </c>
      <c r="C10" s="50" t="n">
        <v>1000000</v>
      </c>
      <c r="D10" s="50" t="n">
        <v>600000</v>
      </c>
    </row>
    <row r="11" customFormat="false" ht="15" hidden="false" customHeight="false" outlineLevel="0" collapsed="false">
      <c r="B11" s="28" t="s">
        <v>113</v>
      </c>
      <c r="C11" s="29" t="n">
        <f aca="false">SUM(C8:C10)</f>
        <v>2800000</v>
      </c>
      <c r="D11" s="29" t="n">
        <f aca="false">SUM(D8:D10)</f>
        <v>1850000</v>
      </c>
    </row>
    <row r="12" customFormat="false" ht="15" hidden="false" customHeight="false" outlineLevel="0" collapsed="false">
      <c r="B12" s="26" t="s">
        <v>115</v>
      </c>
      <c r="C12" s="50" t="n">
        <v>1800000</v>
      </c>
      <c r="D12" s="50" t="n">
        <v>1500000</v>
      </c>
    </row>
    <row r="13" customFormat="false" ht="15" hidden="false" customHeight="false" outlineLevel="0" collapsed="false">
      <c r="B13" s="26" t="s">
        <v>120</v>
      </c>
      <c r="C13" s="50" t="n">
        <v>9600000</v>
      </c>
      <c r="D13" s="50" t="n">
        <v>7900000</v>
      </c>
    </row>
    <row r="14" customFormat="false" ht="15" hidden="false" customHeight="false" outlineLevel="0" collapsed="false">
      <c r="B14" s="26" t="s">
        <v>376</v>
      </c>
      <c r="C14" s="50" t="n">
        <v>-990000</v>
      </c>
      <c r="D14" s="50" t="n">
        <v>-560000</v>
      </c>
    </row>
    <row r="15" customFormat="false" ht="15" hidden="false" customHeight="false" outlineLevel="0" collapsed="false">
      <c r="B15" s="28" t="s">
        <v>122</v>
      </c>
      <c r="C15" s="29" t="n">
        <f aca="false">C13+C14</f>
        <v>8610000</v>
      </c>
      <c r="D15" s="29" t="n">
        <f aca="false">D13+D14</f>
        <v>7340000</v>
      </c>
    </row>
    <row r="16" customFormat="false" ht="15" hidden="false" customHeight="false" outlineLevel="0" collapsed="false">
      <c r="B16" s="26" t="s">
        <v>377</v>
      </c>
      <c r="C16" s="50" t="n">
        <v>340000</v>
      </c>
      <c r="D16" s="50" t="n">
        <v>290000</v>
      </c>
    </row>
    <row r="17" customFormat="false" ht="15" hidden="false" customHeight="false" outlineLevel="0" collapsed="false">
      <c r="B17" s="26" t="s">
        <v>126</v>
      </c>
      <c r="C17" s="50" t="n">
        <v>1250000</v>
      </c>
      <c r="D17" s="50" t="n">
        <v>1120000</v>
      </c>
    </row>
    <row r="18" customFormat="false" ht="15" hidden="false" customHeight="false" outlineLevel="0" collapsed="false">
      <c r="B18" s="26" t="s">
        <v>127</v>
      </c>
      <c r="C18" s="50" t="n">
        <v>210000</v>
      </c>
      <c r="D18" s="50" t="n">
        <v>260000</v>
      </c>
    </row>
    <row r="19" customFormat="false" ht="15" hidden="false" customHeight="false" outlineLevel="0" collapsed="false">
      <c r="B19" s="26" t="s">
        <v>128</v>
      </c>
      <c r="C19" s="50" t="n">
        <v>90000</v>
      </c>
      <c r="D19" s="50" t="n">
        <v>70000</v>
      </c>
    </row>
    <row r="20" customFormat="false" ht="15" hidden="false" customHeight="false" outlineLevel="0" collapsed="false">
      <c r="B20" s="26" t="s">
        <v>129</v>
      </c>
      <c r="C20" s="50" t="n">
        <v>120000</v>
      </c>
      <c r="D20" s="50" t="n">
        <v>100000</v>
      </c>
    </row>
    <row r="21" customFormat="false" ht="15" hidden="false" customHeight="false" outlineLevel="0" collapsed="false">
      <c r="B21" s="33" t="s">
        <v>130</v>
      </c>
      <c r="C21" s="32" t="n">
        <f aca="false">C11+C12+C15+SUM(C16:C20)</f>
        <v>15220000</v>
      </c>
      <c r="D21" s="32" t="n">
        <f aca="false">D11+D12+D15+SUM(D16:D20)</f>
        <v>12530000</v>
      </c>
    </row>
    <row r="22" customFormat="false" ht="6" hidden="false" customHeight="true" outlineLevel="0" collapsed="false"/>
    <row r="23" customFormat="false" ht="15" hidden="false" customHeight="false" outlineLevel="0" collapsed="false">
      <c r="B23" s="26" t="s">
        <v>133</v>
      </c>
      <c r="C23" s="50" t="n">
        <v>4200000</v>
      </c>
      <c r="D23" s="50" t="n">
        <v>3500000</v>
      </c>
    </row>
    <row r="24" customFormat="false" ht="15" hidden="false" customHeight="false" outlineLevel="0" collapsed="false">
      <c r="B24" s="26" t="s">
        <v>134</v>
      </c>
      <c r="C24" s="50" t="n">
        <v>1650000</v>
      </c>
      <c r="D24" s="50" t="n">
        <v>1300000</v>
      </c>
    </row>
    <row r="25" customFormat="false" ht="15" hidden="false" customHeight="false" outlineLevel="0" collapsed="false">
      <c r="B25" s="26" t="s">
        <v>135</v>
      </c>
      <c r="C25" s="50" t="n">
        <v>3100000</v>
      </c>
      <c r="D25" s="50" t="n">
        <v>2600000</v>
      </c>
    </row>
    <row r="26" customFormat="false" ht="15" hidden="false" customHeight="false" outlineLevel="0" collapsed="false">
      <c r="B26" s="28" t="s">
        <v>137</v>
      </c>
      <c r="C26" s="29" t="n">
        <f aca="false">SUM(C23:C25)</f>
        <v>8950000</v>
      </c>
      <c r="D26" s="29" t="n">
        <f aca="false">SUM(D23:D25)</f>
        <v>7400000</v>
      </c>
    </row>
    <row r="27" customFormat="false" ht="15" hidden="false" customHeight="false" outlineLevel="0" collapsed="false">
      <c r="B27" s="26" t="s">
        <v>138</v>
      </c>
      <c r="C27" s="50" t="n">
        <v>2000000</v>
      </c>
      <c r="D27" s="50" t="n">
        <v>1600000</v>
      </c>
    </row>
    <row r="28" customFormat="false" ht="15" hidden="false" customHeight="false" outlineLevel="0" collapsed="false">
      <c r="B28" s="26" t="s">
        <v>142</v>
      </c>
      <c r="C28" s="50" t="n">
        <v>230000</v>
      </c>
      <c r="D28" s="50" t="n">
        <v>280000</v>
      </c>
    </row>
    <row r="29" customFormat="false" ht="15" hidden="false" customHeight="false" outlineLevel="0" collapsed="false">
      <c r="B29" s="26" t="s">
        <v>378</v>
      </c>
      <c r="C29" s="50" t="n">
        <v>610000</v>
      </c>
      <c r="D29" s="50" t="n">
        <v>470000</v>
      </c>
    </row>
    <row r="30" customFormat="false" ht="15" hidden="false" customHeight="false" outlineLevel="0" collapsed="false">
      <c r="B30" s="26" t="s">
        <v>144</v>
      </c>
      <c r="C30" s="50" t="n">
        <v>180000</v>
      </c>
      <c r="D30" s="50" t="n">
        <v>105000</v>
      </c>
    </row>
    <row r="31" customFormat="false" ht="15" hidden="false" customHeight="false" outlineLevel="0" collapsed="false">
      <c r="B31" s="33" t="s">
        <v>147</v>
      </c>
      <c r="C31" s="29" t="n">
        <f aca="false">C26+SUM(C27:C30)</f>
        <v>11970000</v>
      </c>
      <c r="D31" s="29" t="n">
        <f aca="false">D26+SUM(D27:D30)</f>
        <v>9855000</v>
      </c>
    </row>
    <row r="32" customFormat="false" ht="6" hidden="false" customHeight="true" outlineLevel="0" collapsed="false"/>
    <row r="33" customFormat="false" ht="15" hidden="false" customHeight="false" outlineLevel="0" collapsed="false">
      <c r="B33" s="26" t="s">
        <v>379</v>
      </c>
      <c r="C33" s="50" t="n">
        <v>2000000</v>
      </c>
      <c r="D33" s="50" t="n">
        <v>2000000</v>
      </c>
    </row>
    <row r="34" customFormat="false" ht="15" hidden="false" customHeight="false" outlineLevel="0" collapsed="false">
      <c r="B34" s="26" t="s">
        <v>151</v>
      </c>
      <c r="C34" s="50" t="n">
        <v>520000</v>
      </c>
      <c r="D34" s="50" t="n">
        <v>420000</v>
      </c>
    </row>
    <row r="35" customFormat="false" ht="15" hidden="false" customHeight="false" outlineLevel="0" collapsed="false">
      <c r="B35" s="26" t="s">
        <v>152</v>
      </c>
      <c r="C35" s="50" t="n">
        <v>79000</v>
      </c>
      <c r="D35" s="50" t="n">
        <v>120000</v>
      </c>
    </row>
    <row r="36" customFormat="false" ht="15" hidden="false" customHeight="false" outlineLevel="0" collapsed="false">
      <c r="B36" s="26" t="s">
        <v>380</v>
      </c>
      <c r="C36" s="50" t="n">
        <v>651000</v>
      </c>
      <c r="D36" s="50" t="n">
        <v>135000</v>
      </c>
    </row>
    <row r="37" customFormat="false" ht="15" hidden="false" customHeight="false" outlineLevel="0" collapsed="false">
      <c r="B37" s="33" t="s">
        <v>155</v>
      </c>
      <c r="C37" s="29" t="n">
        <f aca="false">SUM(C33:C36)</f>
        <v>3250000</v>
      </c>
      <c r="D37" s="29" t="n">
        <f aca="false">SUM(D33:D36)</f>
        <v>2675000</v>
      </c>
    </row>
    <row r="38" customFormat="false" ht="15" hidden="false" customHeight="false" outlineLevel="0" collapsed="false">
      <c r="B38" s="33" t="s">
        <v>156</v>
      </c>
      <c r="C38" s="32" t="n">
        <f aca="false">C31+C37</f>
        <v>15220000</v>
      </c>
      <c r="D38" s="32" t="n">
        <f aca="false">D31+D37</f>
        <v>12530000</v>
      </c>
    </row>
    <row r="39" customFormat="false" ht="15" hidden="false" customHeight="false" outlineLevel="0" collapsed="false">
      <c r="B39" s="28" t="s">
        <v>381</v>
      </c>
      <c r="C39" s="34" t="str">
        <f aca="false">IF(ROUND(C21-C38,0)=0,"OK","OUT BY "&amp;TEXT(C21-C38,"#,##0"))</f>
        <v>OK</v>
      </c>
      <c r="D39" s="34" t="str">
        <f aca="false">IF(ROUND(D21-D38,0)=0,"OK","OUT BY "&amp;TEXT(D21-D38,"#,##0"))</f>
        <v>OK</v>
      </c>
    </row>
    <row r="41" customFormat="false" ht="15" hidden="false" customHeight="false" outlineLevel="0" collapsed="false">
      <c r="B41" s="23" t="s">
        <v>382</v>
      </c>
      <c r="C41" s="24"/>
      <c r="D41" s="24"/>
    </row>
    <row r="42" customFormat="false" ht="30" hidden="false" customHeight="true" outlineLevel="0" collapsed="false">
      <c r="B42" s="21"/>
      <c r="C42" s="22" t="s">
        <v>372</v>
      </c>
      <c r="D42" s="22" t="s">
        <v>373</v>
      </c>
    </row>
    <row r="43" customFormat="false" ht="15" hidden="false" customHeight="false" outlineLevel="0" collapsed="false">
      <c r="B43" s="26" t="s">
        <v>383</v>
      </c>
      <c r="C43" s="50" t="n">
        <v>4250000</v>
      </c>
      <c r="D43" s="50" t="n">
        <v>3480000</v>
      </c>
    </row>
    <row r="44" customFormat="false" ht="15" hidden="false" customHeight="false" outlineLevel="0" collapsed="false">
      <c r="B44" s="26" t="s">
        <v>384</v>
      </c>
      <c r="C44" s="50" t="n">
        <v>260000</v>
      </c>
      <c r="D44" s="50" t="n">
        <v>210000</v>
      </c>
    </row>
    <row r="45" customFormat="false" ht="15" hidden="false" customHeight="false" outlineLevel="0" collapsed="false">
      <c r="B45" s="28" t="s">
        <v>165</v>
      </c>
      <c r="C45" s="29" t="n">
        <f aca="false">SUM(C43:C44)</f>
        <v>4510000</v>
      </c>
      <c r="D45" s="29" t="n">
        <f aca="false">SUM(D43:D44)</f>
        <v>3690000</v>
      </c>
    </row>
    <row r="46" customFormat="false" ht="15" hidden="false" customHeight="false" outlineLevel="0" collapsed="false">
      <c r="B46" s="26" t="s">
        <v>385</v>
      </c>
      <c r="C46" s="50" t="n">
        <v>-760000</v>
      </c>
      <c r="D46" s="50" t="n">
        <v>-620000</v>
      </c>
    </row>
    <row r="47" customFormat="false" ht="15" hidden="false" customHeight="false" outlineLevel="0" collapsed="false">
      <c r="B47" s="26" t="s">
        <v>386</v>
      </c>
      <c r="C47" s="50" t="n">
        <v>-300000</v>
      </c>
      <c r="D47" s="50" t="n">
        <v>-240000</v>
      </c>
    </row>
    <row r="48" customFormat="false" ht="15" hidden="false" customHeight="false" outlineLevel="0" collapsed="false">
      <c r="B48" s="28" t="s">
        <v>168</v>
      </c>
      <c r="C48" s="29" t="n">
        <f aca="false">SUM(C46:C47)</f>
        <v>-1060000</v>
      </c>
      <c r="D48" s="29" t="n">
        <f aca="false">SUM(D46:D47)</f>
        <v>-860000</v>
      </c>
    </row>
    <row r="49" customFormat="false" ht="15" hidden="false" customHeight="false" outlineLevel="0" collapsed="false">
      <c r="B49" s="28" t="s">
        <v>387</v>
      </c>
      <c r="C49" s="29" t="n">
        <f aca="false">C45+C48</f>
        <v>3450000</v>
      </c>
      <c r="D49" s="29" t="n">
        <f aca="false">D45+D48</f>
        <v>2830000</v>
      </c>
    </row>
    <row r="50" customFormat="false" ht="15" hidden="false" customHeight="false" outlineLevel="0" collapsed="false">
      <c r="B50" s="26" t="s">
        <v>171</v>
      </c>
      <c r="C50" s="50" t="n">
        <v>480000</v>
      </c>
      <c r="D50" s="50" t="n">
        <v>395000</v>
      </c>
    </row>
    <row r="51" customFormat="false" ht="15" hidden="false" customHeight="false" outlineLevel="0" collapsed="false">
      <c r="B51" s="26" t="s">
        <v>388</v>
      </c>
      <c r="C51" s="50" t="n">
        <v>-60000</v>
      </c>
      <c r="D51" s="50" t="n">
        <v>-48000</v>
      </c>
    </row>
    <row r="52" customFormat="false" ht="15" hidden="false" customHeight="false" outlineLevel="0" collapsed="false">
      <c r="B52" s="28" t="s">
        <v>173</v>
      </c>
      <c r="C52" s="29" t="n">
        <f aca="false">SUM(C50:C51)</f>
        <v>420000</v>
      </c>
      <c r="D52" s="29" t="n">
        <f aca="false">SUM(D50:D51)</f>
        <v>347000</v>
      </c>
    </row>
    <row r="53" customFormat="false" ht="15" hidden="false" customHeight="false" outlineLevel="0" collapsed="false">
      <c r="B53" s="26" t="s">
        <v>389</v>
      </c>
      <c r="C53" s="50" t="n">
        <v>95000</v>
      </c>
      <c r="D53" s="50" t="n">
        <v>70000</v>
      </c>
    </row>
    <row r="54" customFormat="false" ht="15" hidden="false" customHeight="false" outlineLevel="0" collapsed="false">
      <c r="B54" s="33" t="s">
        <v>176</v>
      </c>
      <c r="C54" s="29" t="n">
        <f aca="false">C49+C52+C53</f>
        <v>3965000</v>
      </c>
      <c r="D54" s="29" t="n">
        <f aca="false">D49+D52+D53</f>
        <v>3247000</v>
      </c>
    </row>
    <row r="55" customFormat="false" ht="15" hidden="false" customHeight="false" outlineLevel="0" collapsed="false">
      <c r="B55" s="26" t="s">
        <v>213</v>
      </c>
      <c r="C55" s="50" t="n">
        <v>-430000</v>
      </c>
      <c r="D55" s="50" t="n">
        <v>-360000</v>
      </c>
    </row>
    <row r="56" customFormat="false" ht="15" hidden="false" customHeight="false" outlineLevel="0" collapsed="false">
      <c r="B56" s="28" t="s">
        <v>390</v>
      </c>
      <c r="C56" s="29" t="n">
        <f aca="false">C54+C55</f>
        <v>3535000</v>
      </c>
      <c r="D56" s="29" t="n">
        <f aca="false">D54+D55</f>
        <v>2887000</v>
      </c>
    </row>
    <row r="57" customFormat="false" ht="15" hidden="false" customHeight="false" outlineLevel="0" collapsed="false">
      <c r="B57" s="26" t="s">
        <v>391</v>
      </c>
      <c r="C57" s="50" t="n">
        <v>-1540000</v>
      </c>
      <c r="D57" s="50" t="n">
        <v>-1320000</v>
      </c>
    </row>
    <row r="58" customFormat="false" ht="15" hidden="false" customHeight="false" outlineLevel="0" collapsed="false">
      <c r="B58" s="26" t="s">
        <v>210</v>
      </c>
      <c r="C58" s="50" t="n">
        <v>-210000</v>
      </c>
      <c r="D58" s="50" t="n">
        <v>-180000</v>
      </c>
    </row>
    <row r="59" customFormat="false" ht="15" hidden="false" customHeight="false" outlineLevel="0" collapsed="false">
      <c r="B59" s="26" t="s">
        <v>211</v>
      </c>
      <c r="C59" s="50" t="n">
        <v>-95000</v>
      </c>
      <c r="D59" s="50" t="n">
        <v>-85000</v>
      </c>
    </row>
    <row r="60" customFormat="false" ht="15" hidden="false" customHeight="false" outlineLevel="0" collapsed="false">
      <c r="B60" s="26" t="s">
        <v>212</v>
      </c>
      <c r="C60" s="50" t="n">
        <v>-30000</v>
      </c>
      <c r="D60" s="50" t="n">
        <v>-25000</v>
      </c>
    </row>
    <row r="61" customFormat="false" ht="15" hidden="false" customHeight="false" outlineLevel="0" collapsed="false">
      <c r="B61" s="26" t="s">
        <v>392</v>
      </c>
      <c r="C61" s="50" t="n">
        <v>-880000</v>
      </c>
      <c r="D61" s="50" t="n">
        <v>-760000</v>
      </c>
    </row>
    <row r="62" customFormat="false" ht="15" hidden="false" customHeight="false" outlineLevel="0" collapsed="false">
      <c r="B62" s="28" t="s">
        <v>393</v>
      </c>
      <c r="C62" s="29" t="n">
        <f aca="false">SUM(C57:C61)</f>
        <v>-2755000</v>
      </c>
      <c r="D62" s="29" t="n">
        <f aca="false">SUM(D57:D61)</f>
        <v>-2370000</v>
      </c>
    </row>
    <row r="63" customFormat="false" ht="15" hidden="false" customHeight="false" outlineLevel="0" collapsed="false">
      <c r="B63" s="33" t="s">
        <v>394</v>
      </c>
      <c r="C63" s="29" t="n">
        <f aca="false">C56+C62</f>
        <v>780000</v>
      </c>
      <c r="D63" s="29" t="n">
        <f aca="false">D56+D62</f>
        <v>517000</v>
      </c>
    </row>
    <row r="64" customFormat="false" ht="15" hidden="false" customHeight="false" outlineLevel="0" collapsed="false">
      <c r="B64" s="26" t="s">
        <v>395</v>
      </c>
      <c r="C64" s="50" t="n">
        <v>-225000</v>
      </c>
      <c r="D64" s="50" t="n">
        <v>-150000</v>
      </c>
    </row>
    <row r="65" customFormat="false" ht="15" hidden="false" customHeight="false" outlineLevel="0" collapsed="false">
      <c r="B65" s="26" t="s">
        <v>396</v>
      </c>
      <c r="C65" s="50" t="n">
        <v>20000</v>
      </c>
      <c r="D65" s="50" t="n">
        <v>10000</v>
      </c>
    </row>
    <row r="66" customFormat="false" ht="15" hidden="false" customHeight="false" outlineLevel="0" collapsed="false">
      <c r="B66" s="33" t="s">
        <v>397</v>
      </c>
      <c r="C66" s="32" t="n">
        <f aca="false">C63+C64+C65</f>
        <v>575000</v>
      </c>
      <c r="D66" s="32" t="n">
        <f aca="false">D63+D64+D65</f>
        <v>377000</v>
      </c>
    </row>
    <row r="68" customFormat="false" ht="15" hidden="false" customHeight="false" outlineLevel="0" collapsed="false">
      <c r="B68" s="23" t="s">
        <v>398</v>
      </c>
      <c r="C68" s="24"/>
      <c r="D68" s="24"/>
    </row>
    <row r="69" customFormat="false" ht="30" hidden="false" customHeight="true" outlineLevel="0" collapsed="false">
      <c r="B69" s="21"/>
      <c r="C69" s="22" t="s">
        <v>372</v>
      </c>
      <c r="D69" s="22"/>
    </row>
    <row r="70" customFormat="false" ht="15" hidden="false" customHeight="false" outlineLevel="0" collapsed="false">
      <c r="B70" s="26" t="s">
        <v>399</v>
      </c>
      <c r="C70" s="27" t="n">
        <f aca="false">C63</f>
        <v>780000</v>
      </c>
      <c r="D70" s="51"/>
    </row>
    <row r="71" customFormat="false" ht="15" hidden="false" customHeight="false" outlineLevel="0" collapsed="false">
      <c r="B71" s="26" t="s">
        <v>210</v>
      </c>
      <c r="C71" s="27" t="n">
        <f aca="false">-C58</f>
        <v>210000</v>
      </c>
      <c r="D71" s="51"/>
    </row>
    <row r="72" customFormat="false" ht="15" hidden="false" customHeight="false" outlineLevel="0" collapsed="false">
      <c r="B72" s="26" t="s">
        <v>211</v>
      </c>
      <c r="C72" s="27" t="n">
        <f aca="false">-C59</f>
        <v>95000</v>
      </c>
      <c r="D72" s="51"/>
    </row>
    <row r="73" customFormat="false" ht="15" hidden="false" customHeight="false" outlineLevel="0" collapsed="false">
      <c r="B73" s="26" t="s">
        <v>212</v>
      </c>
      <c r="C73" s="27" t="n">
        <f aca="false">-C60</f>
        <v>30000</v>
      </c>
      <c r="D73" s="51"/>
    </row>
    <row r="74" customFormat="false" ht="15" hidden="false" customHeight="false" outlineLevel="0" collapsed="false">
      <c r="B74" s="26" t="s">
        <v>213</v>
      </c>
      <c r="C74" s="27" t="n">
        <f aca="false">-C55</f>
        <v>430000</v>
      </c>
      <c r="D74" s="51"/>
    </row>
    <row r="75" customFormat="false" ht="15" hidden="false" customHeight="false" outlineLevel="0" collapsed="false">
      <c r="B75" s="26" t="s">
        <v>386</v>
      </c>
      <c r="C75" s="27" t="n">
        <f aca="false">-C47</f>
        <v>300000</v>
      </c>
      <c r="D75" s="51"/>
    </row>
    <row r="76" customFormat="false" ht="15" hidden="false" customHeight="false" outlineLevel="0" collapsed="false">
      <c r="B76" s="28" t="s">
        <v>218</v>
      </c>
      <c r="C76" s="29" t="n">
        <f aca="false">SUM(C70:C75)</f>
        <v>1845000</v>
      </c>
      <c r="D76" s="52"/>
    </row>
    <row r="77" customFormat="false" ht="15" hidden="false" customHeight="false" outlineLevel="0" collapsed="false">
      <c r="B77" s="26" t="s">
        <v>400</v>
      </c>
      <c r="C77" s="27" t="n">
        <f aca="false">-(C13-D13)</f>
        <v>-1700000</v>
      </c>
      <c r="D77" s="51"/>
    </row>
    <row r="78" customFormat="false" ht="15" hidden="false" customHeight="false" outlineLevel="0" collapsed="false">
      <c r="B78" s="26" t="s">
        <v>401</v>
      </c>
      <c r="C78" s="27" t="n">
        <f aca="false">-(C16-D16)</f>
        <v>-50000</v>
      </c>
      <c r="D78" s="51"/>
    </row>
    <row r="79" customFormat="false" ht="15" hidden="false" customHeight="false" outlineLevel="0" collapsed="false">
      <c r="B79" s="26" t="s">
        <v>402</v>
      </c>
      <c r="C79" s="27" t="n">
        <f aca="false">C26-D26</f>
        <v>1550000</v>
      </c>
      <c r="D79" s="51"/>
    </row>
    <row r="80" customFormat="false" ht="15" hidden="false" customHeight="false" outlineLevel="0" collapsed="false">
      <c r="B80" s="26" t="s">
        <v>403</v>
      </c>
      <c r="C80" s="27" t="n">
        <f aca="false">C29-D29</f>
        <v>140000</v>
      </c>
      <c r="D80" s="51"/>
    </row>
    <row r="81" customFormat="false" ht="15" hidden="false" customHeight="false" outlineLevel="0" collapsed="false">
      <c r="B81" s="28" t="s">
        <v>404</v>
      </c>
      <c r="C81" s="29" t="n">
        <f aca="false">C76+SUM(C77:C80)</f>
        <v>1785000</v>
      </c>
      <c r="D81" s="52"/>
    </row>
    <row r="82" customFormat="false" ht="15" hidden="false" customHeight="false" outlineLevel="0" collapsed="false">
      <c r="B82" s="26" t="s">
        <v>405</v>
      </c>
      <c r="C82" s="50" t="n">
        <v>-150000</v>
      </c>
      <c r="D82" s="51"/>
    </row>
    <row r="83" customFormat="false" ht="15" hidden="false" customHeight="false" outlineLevel="0" collapsed="false">
      <c r="B83" s="33" t="s">
        <v>406</v>
      </c>
      <c r="C83" s="29" t="n">
        <f aca="false">C81+C82</f>
        <v>1635000</v>
      </c>
      <c r="D83" s="52"/>
    </row>
    <row r="84" customFormat="false" ht="15" hidden="false" customHeight="false" outlineLevel="0" collapsed="false">
      <c r="B84" s="26" t="s">
        <v>407</v>
      </c>
      <c r="C84" s="50" t="n">
        <v>-340000</v>
      </c>
      <c r="D84" s="51"/>
    </row>
    <row r="85" customFormat="false" ht="15" hidden="false" customHeight="false" outlineLevel="0" collapsed="false">
      <c r="B85" s="26" t="s">
        <v>408</v>
      </c>
      <c r="C85" s="50" t="n">
        <v>-50000</v>
      </c>
      <c r="D85" s="51"/>
    </row>
    <row r="86" customFormat="false" ht="15" hidden="false" customHeight="false" outlineLevel="0" collapsed="false">
      <c r="B86" s="26" t="s">
        <v>409</v>
      </c>
      <c r="C86" s="50" t="n">
        <v>-300000</v>
      </c>
      <c r="D86" s="51"/>
    </row>
    <row r="87" customFormat="false" ht="15" hidden="false" customHeight="false" outlineLevel="0" collapsed="false">
      <c r="B87" s="33" t="s">
        <v>410</v>
      </c>
      <c r="C87" s="29" t="n">
        <f aca="false">SUM(C84:C86)</f>
        <v>-690000</v>
      </c>
      <c r="D87" s="52"/>
    </row>
    <row r="88" customFormat="false" ht="15" hidden="false" customHeight="false" outlineLevel="0" collapsed="false">
      <c r="B88" s="26" t="s">
        <v>411</v>
      </c>
      <c r="C88" s="50" t="n">
        <v>400000</v>
      </c>
      <c r="D88" s="51"/>
    </row>
    <row r="89" customFormat="false" ht="15" hidden="false" customHeight="false" outlineLevel="0" collapsed="false">
      <c r="B89" s="26" t="s">
        <v>412</v>
      </c>
      <c r="C89" s="50" t="n">
        <v>-300000</v>
      </c>
      <c r="D89" s="51"/>
    </row>
    <row r="90" customFormat="false" ht="15" hidden="false" customHeight="false" outlineLevel="0" collapsed="false">
      <c r="B90" s="26" t="s">
        <v>413</v>
      </c>
      <c r="C90" s="50" t="n">
        <v>-95000</v>
      </c>
      <c r="D90" s="51"/>
    </row>
    <row r="91" customFormat="false" ht="15" hidden="false" customHeight="false" outlineLevel="0" collapsed="false">
      <c r="B91" s="33" t="s">
        <v>414</v>
      </c>
      <c r="C91" s="29" t="n">
        <f aca="false">SUM(C88:C90)</f>
        <v>5000</v>
      </c>
      <c r="D91" s="52"/>
    </row>
    <row r="92" customFormat="false" ht="15" hidden="false" customHeight="false" outlineLevel="0" collapsed="false">
      <c r="B92" s="33" t="s">
        <v>415</v>
      </c>
      <c r="C92" s="29" t="n">
        <f aca="false">C83+C87+C91</f>
        <v>950000</v>
      </c>
      <c r="D92" s="52"/>
    </row>
    <row r="93" customFormat="false" ht="15" hidden="false" customHeight="false" outlineLevel="0" collapsed="false">
      <c r="B93" s="26" t="s">
        <v>416</v>
      </c>
      <c r="C93" s="27" t="n">
        <f aca="false">D11</f>
        <v>1850000</v>
      </c>
      <c r="D93" s="51"/>
    </row>
    <row r="94" customFormat="false" ht="15" hidden="false" customHeight="false" outlineLevel="0" collapsed="false">
      <c r="B94" s="33" t="s">
        <v>417</v>
      </c>
      <c r="C94" s="32" t="n">
        <f aca="false">C92+C93</f>
        <v>2800000</v>
      </c>
      <c r="D94" s="53"/>
    </row>
    <row r="95" customFormat="false" ht="15" hidden="false" customHeight="false" outlineLevel="0" collapsed="false">
      <c r="B95" s="28" t="s">
        <v>418</v>
      </c>
      <c r="C95" s="34" t="str">
        <f aca="false">IF(ROUND(C94-C11,0)=0,"OK","OUT BY "&amp;TEXT(C94-C11,"#,##0"))</f>
        <v>OK</v>
      </c>
    </row>
    <row r="96" customFormat="false" ht="15" hidden="false" customHeight="false" outlineLevel="0" collapsed="false">
      <c r="B96" s="3" t="s">
        <v>419</v>
      </c>
    </row>
    <row r="98" customFormat="false" ht="15" hidden="false" customHeight="false" outlineLevel="0" collapsed="false">
      <c r="B98" s="23" t="s">
        <v>420</v>
      </c>
      <c r="C98" s="24"/>
      <c r="D98" s="24"/>
    </row>
    <row r="99" customFormat="false" ht="30" hidden="false" customHeight="true" outlineLevel="0" collapsed="false">
      <c r="B99" s="21" t="s">
        <v>268</v>
      </c>
      <c r="C99" s="22" t="s">
        <v>269</v>
      </c>
      <c r="D99" s="22" t="s">
        <v>421</v>
      </c>
      <c r="E99" s="22" t="s">
        <v>422</v>
      </c>
      <c r="F99" s="22" t="s">
        <v>423</v>
      </c>
    </row>
    <row r="100" customFormat="false" ht="15" hidden="false" customHeight="false" outlineLevel="0" collapsed="false">
      <c r="B100" s="38" t="s">
        <v>276</v>
      </c>
      <c r="C100" s="54" t="s">
        <v>277</v>
      </c>
      <c r="D100" s="17" t="n">
        <v>7400000</v>
      </c>
      <c r="E100" s="47" t="n">
        <v>0.01</v>
      </c>
      <c r="F100" s="27" t="n">
        <f aca="false">D100*E100</f>
        <v>74000</v>
      </c>
    </row>
    <row r="101" customFormat="false" ht="15" hidden="false" customHeight="false" outlineLevel="0" collapsed="false">
      <c r="B101" s="38" t="s">
        <v>424</v>
      </c>
      <c r="C101" s="54" t="s">
        <v>280</v>
      </c>
      <c r="D101" s="17" t="n">
        <v>700000</v>
      </c>
      <c r="E101" s="47" t="n">
        <v>0.1</v>
      </c>
      <c r="F101" s="27" t="n">
        <f aca="false">D101*E101</f>
        <v>70000</v>
      </c>
    </row>
    <row r="102" customFormat="false" ht="15" hidden="false" customHeight="false" outlineLevel="0" collapsed="false">
      <c r="B102" s="38" t="s">
        <v>281</v>
      </c>
      <c r="C102" s="54" t="s">
        <v>282</v>
      </c>
      <c r="D102" s="17" t="n">
        <v>500000</v>
      </c>
      <c r="E102" s="47" t="n">
        <v>0.25</v>
      </c>
      <c r="F102" s="27" t="n">
        <f aca="false">D102*E102</f>
        <v>125000</v>
      </c>
    </row>
    <row r="103" customFormat="false" ht="15" hidden="false" customHeight="false" outlineLevel="0" collapsed="false">
      <c r="B103" s="38" t="s">
        <v>283</v>
      </c>
      <c r="C103" s="54" t="s">
        <v>284</v>
      </c>
      <c r="D103" s="17" t="n">
        <v>400000</v>
      </c>
      <c r="E103" s="47" t="n">
        <v>0.5</v>
      </c>
      <c r="F103" s="27" t="n">
        <f aca="false">D103*E103</f>
        <v>200000</v>
      </c>
    </row>
    <row r="104" customFormat="false" ht="15" hidden="false" customHeight="false" outlineLevel="0" collapsed="false">
      <c r="B104" s="38" t="s">
        <v>285</v>
      </c>
      <c r="C104" s="54" t="s">
        <v>286</v>
      </c>
      <c r="D104" s="17" t="n">
        <v>600000</v>
      </c>
      <c r="E104" s="47" t="n">
        <v>1</v>
      </c>
      <c r="F104" s="27" t="n">
        <f aca="false">D104*E104</f>
        <v>600000</v>
      </c>
    </row>
    <row r="105" customFormat="false" ht="15" hidden="false" customHeight="false" outlineLevel="0" collapsed="false">
      <c r="B105" s="33" t="s">
        <v>425</v>
      </c>
      <c r="D105" s="32" t="n">
        <f aca="false">SUM(D100:D104)</f>
        <v>9600000</v>
      </c>
      <c r="F105" s="32" t="n">
        <f aca="false">SUM(F100:F104)</f>
        <v>1069000</v>
      </c>
    </row>
    <row r="106" customFormat="false" ht="15" hidden="false" customHeight="false" outlineLevel="0" collapsed="false">
      <c r="B106" s="28" t="s">
        <v>426</v>
      </c>
      <c r="D106" s="34" t="str">
        <f aca="false">IF(ROUND(D105-C13,0)=0,"OK","OUT BY "&amp;TEXT(D105-C13,"#,##0"))</f>
        <v>OK</v>
      </c>
    </row>
    <row r="108" customFormat="false" ht="15" hidden="false" customHeight="false" outlineLevel="0" collapsed="false">
      <c r="B108" s="38" t="s">
        <v>289</v>
      </c>
      <c r="C108" s="27" t="n">
        <f aca="false">F105</f>
        <v>1069000</v>
      </c>
      <c r="D108" s="51"/>
    </row>
    <row r="109" customFormat="false" ht="15" hidden="false" customHeight="false" outlineLevel="0" collapsed="false">
      <c r="B109" s="38" t="s">
        <v>427</v>
      </c>
      <c r="C109" s="27" t="n">
        <f aca="false">-C14</f>
        <v>990000</v>
      </c>
      <c r="D109" s="51"/>
    </row>
    <row r="110" customFormat="false" ht="15" hidden="false" customHeight="false" outlineLevel="0" collapsed="false">
      <c r="B110" s="33" t="s">
        <v>291</v>
      </c>
      <c r="C110" s="29" t="n">
        <f aca="false">MAX(0,C108-C109)</f>
        <v>79000</v>
      </c>
      <c r="D110" s="52"/>
    </row>
    <row r="111" customFormat="false" ht="15" hidden="false" customHeight="false" outlineLevel="0" collapsed="false">
      <c r="B111" s="28" t="s">
        <v>428</v>
      </c>
      <c r="C111" s="34" t="str">
        <f aca="false">IF(ROUND(C110-C35,0)=0,"OK","OUT BY "&amp;TEXT(C110-C35,"#,##0"))</f>
        <v>OK</v>
      </c>
    </row>
    <row r="113" customFormat="false" ht="15" hidden="false" customHeight="false" outlineLevel="0" collapsed="false">
      <c r="B113" s="38" t="s">
        <v>295</v>
      </c>
      <c r="C113" s="41" t="n">
        <f aca="false">(D105-D100)/D105</f>
        <v>0.229166666666667</v>
      </c>
      <c r="D113" s="55"/>
    </row>
    <row r="114" customFormat="false" ht="15" hidden="false" customHeight="false" outlineLevel="0" collapsed="false">
      <c r="B114" s="38" t="s">
        <v>429</v>
      </c>
      <c r="C114" s="41" t="n">
        <f aca="false">SUM(D102:D104)/D105</f>
        <v>0.15625</v>
      </c>
      <c r="D114" s="55"/>
    </row>
    <row r="115" customFormat="false" ht="15" hidden="false" customHeight="false" outlineLevel="0" collapsed="false">
      <c r="B115" s="38" t="s">
        <v>358</v>
      </c>
      <c r="C115" s="41" t="n">
        <f aca="false">C43/AVERAGE(C13,D13)</f>
        <v>0.485714285714286</v>
      </c>
      <c r="D115" s="55"/>
    </row>
    <row r="116" customFormat="false" ht="15" hidden="false" customHeight="false" outlineLevel="0" collapsed="false">
      <c r="B116" s="38" t="s">
        <v>360</v>
      </c>
      <c r="C116" s="41" t="n">
        <f aca="false">-C62/C54</f>
        <v>0.694829760403531</v>
      </c>
      <c r="D116" s="55"/>
    </row>
    <row r="117" customFormat="false" ht="15" hidden="false" customHeight="false" outlineLevel="0" collapsed="false">
      <c r="B117" s="38" t="s">
        <v>364</v>
      </c>
      <c r="C117" s="41" t="n">
        <f aca="false">(C45+C50+C53)/(-C48-C51-C55-C62)</f>
        <v>1.18118466898955</v>
      </c>
      <c r="D117" s="55"/>
    </row>
    <row r="118" customFormat="false" ht="15" hidden="false" customHeight="false" outlineLevel="0" collapsed="false">
      <c r="B118" s="38" t="s">
        <v>354</v>
      </c>
      <c r="C118" s="41" t="n">
        <f aca="false">C66/AVERAGE(C21,D21)</f>
        <v>0.0414414414414414</v>
      </c>
      <c r="D118" s="55"/>
    </row>
    <row r="119" customFormat="false" ht="15" hidden="false" customHeight="false" outlineLevel="0" collapsed="false">
      <c r="B119" s="38" t="s">
        <v>356</v>
      </c>
      <c r="C119" s="41" t="n">
        <f aca="false">C66/AVERAGE(C37,D37)</f>
        <v>0.194092827004219</v>
      </c>
      <c r="D119" s="55"/>
    </row>
    <row r="120" customFormat="false" ht="15" hidden="false" customHeight="false" outlineLevel="0" collapsed="false">
      <c r="B120" s="38" t="s">
        <v>430</v>
      </c>
      <c r="C120" s="41" t="n">
        <f aca="false">(C11+C12)/C26</f>
        <v>0.513966480446927</v>
      </c>
      <c r="D120" s="55"/>
    </row>
    <row r="121" customFormat="false" ht="15" hidden="false" customHeight="false" outlineLevel="0" collapsed="false">
      <c r="B121" s="38" t="s">
        <v>431</v>
      </c>
      <c r="C121" s="41" t="n">
        <f aca="false">C37/C21</f>
        <v>0.21353482260184</v>
      </c>
      <c r="D121" s="55"/>
    </row>
  </sheetData>
  <mergeCells count="1">
    <mergeCell ref="B2: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2026-08-30T22:58:25Z</dcterms:created>
  <dc:creator>openpyxl</dc:creator>
  <dc:description/>
  <dc:language>en-US</dc:language>
  <cp:lastModifiedBy/>
  <dcterms:modified xsi:type="dcterms:W3CDTF">2026-08-30T22:58:25Z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